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M. Rifky Ardiansyah\Downloads\"/>
    </mc:Choice>
  </mc:AlternateContent>
  <xr:revisionPtr revIDLastSave="0" documentId="13_ncr:1_{3FC5C89A-E372-4A57-B6E8-962648BB18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_Historis_Mingguan" sheetId="1" r:id="rId1"/>
    <sheet name="Differencing_Stasioneritas" sheetId="2" r:id="rId2"/>
    <sheet name="Ringkasan_ARIM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6" i="2" l="1"/>
  <c r="C266" i="2"/>
  <c r="E266" i="2" s="1"/>
  <c r="B266" i="2"/>
  <c r="D265" i="2"/>
  <c r="C265" i="2"/>
  <c r="E265" i="2" s="1"/>
  <c r="B265" i="2"/>
  <c r="D264" i="2"/>
  <c r="C264" i="2"/>
  <c r="E264" i="2" s="1"/>
  <c r="B264" i="2"/>
  <c r="D263" i="2"/>
  <c r="C263" i="2"/>
  <c r="E263" i="2" s="1"/>
  <c r="B263" i="2"/>
  <c r="D262" i="2"/>
  <c r="C262" i="2"/>
  <c r="E262" i="2" s="1"/>
  <c r="B262" i="2"/>
  <c r="D261" i="2"/>
  <c r="E261" i="2" s="1"/>
  <c r="C261" i="2"/>
  <c r="B261" i="2"/>
  <c r="D260" i="2"/>
  <c r="C260" i="2"/>
  <c r="E260" i="2" s="1"/>
  <c r="B260" i="2"/>
  <c r="D259" i="2"/>
  <c r="C259" i="2"/>
  <c r="E259" i="2" s="1"/>
  <c r="B259" i="2"/>
  <c r="D258" i="2"/>
  <c r="C258" i="2"/>
  <c r="E258" i="2" s="1"/>
  <c r="B258" i="2"/>
  <c r="D257" i="2"/>
  <c r="C257" i="2"/>
  <c r="E257" i="2" s="1"/>
  <c r="B257" i="2"/>
  <c r="D256" i="2"/>
  <c r="C256" i="2"/>
  <c r="E256" i="2" s="1"/>
  <c r="B256" i="2"/>
  <c r="E255" i="2"/>
  <c r="D255" i="2"/>
  <c r="C255" i="2"/>
  <c r="B255" i="2"/>
  <c r="D254" i="2"/>
  <c r="C254" i="2"/>
  <c r="E254" i="2" s="1"/>
  <c r="B254" i="2"/>
  <c r="D253" i="2"/>
  <c r="C253" i="2"/>
  <c r="E253" i="2" s="1"/>
  <c r="B253" i="2"/>
  <c r="D252" i="2"/>
  <c r="C252" i="2"/>
  <c r="E252" i="2" s="1"/>
  <c r="B252" i="2"/>
  <c r="D251" i="2"/>
  <c r="C251" i="2"/>
  <c r="E251" i="2" s="1"/>
  <c r="B251" i="2"/>
  <c r="D250" i="2"/>
  <c r="C250" i="2"/>
  <c r="E250" i="2" s="1"/>
  <c r="B250" i="2"/>
  <c r="D249" i="2"/>
  <c r="C249" i="2"/>
  <c r="E249" i="2" s="1"/>
  <c r="B249" i="2"/>
  <c r="D248" i="2"/>
  <c r="C248" i="2"/>
  <c r="E248" i="2" s="1"/>
  <c r="B248" i="2"/>
  <c r="D247" i="2"/>
  <c r="C247" i="2"/>
  <c r="E247" i="2" s="1"/>
  <c r="B247" i="2"/>
  <c r="D246" i="2"/>
  <c r="C246" i="2"/>
  <c r="E246" i="2" s="1"/>
  <c r="B246" i="2"/>
  <c r="D245" i="2"/>
  <c r="C245" i="2"/>
  <c r="E245" i="2" s="1"/>
  <c r="B245" i="2"/>
  <c r="E244" i="2"/>
  <c r="D244" i="2"/>
  <c r="C244" i="2"/>
  <c r="B244" i="2"/>
  <c r="D243" i="2"/>
  <c r="C243" i="2"/>
  <c r="E243" i="2" s="1"/>
  <c r="B243" i="2"/>
  <c r="D242" i="2"/>
  <c r="C242" i="2"/>
  <c r="E242" i="2" s="1"/>
  <c r="B242" i="2"/>
  <c r="D241" i="2"/>
  <c r="C241" i="2"/>
  <c r="E241" i="2" s="1"/>
  <c r="B241" i="2"/>
  <c r="D240" i="2"/>
  <c r="E240" i="2" s="1"/>
  <c r="C240" i="2"/>
  <c r="B240" i="2"/>
  <c r="D239" i="2"/>
  <c r="C239" i="2"/>
  <c r="E239" i="2" s="1"/>
  <c r="B239" i="2"/>
  <c r="D238" i="2"/>
  <c r="C238" i="2"/>
  <c r="E238" i="2" s="1"/>
  <c r="B238" i="2"/>
  <c r="D237" i="2"/>
  <c r="C237" i="2"/>
  <c r="E237" i="2" s="1"/>
  <c r="B237" i="2"/>
  <c r="D236" i="2"/>
  <c r="C236" i="2"/>
  <c r="E236" i="2" s="1"/>
  <c r="B236" i="2"/>
  <c r="D235" i="2"/>
  <c r="C235" i="2"/>
  <c r="E235" i="2" s="1"/>
  <c r="B235" i="2"/>
  <c r="D234" i="2"/>
  <c r="C234" i="2"/>
  <c r="E234" i="2" s="1"/>
  <c r="B234" i="2"/>
  <c r="E233" i="2"/>
  <c r="D233" i="2"/>
  <c r="C233" i="2"/>
  <c r="B233" i="2"/>
  <c r="D232" i="2"/>
  <c r="C232" i="2"/>
  <c r="E232" i="2" s="1"/>
  <c r="B232" i="2"/>
  <c r="D231" i="2"/>
  <c r="C231" i="2"/>
  <c r="E231" i="2" s="1"/>
  <c r="B231" i="2"/>
  <c r="D230" i="2"/>
  <c r="C230" i="2"/>
  <c r="E230" i="2" s="1"/>
  <c r="B230" i="2"/>
  <c r="D229" i="2"/>
  <c r="C229" i="2"/>
  <c r="E229" i="2" s="1"/>
  <c r="B229" i="2"/>
  <c r="D228" i="2"/>
  <c r="C228" i="2"/>
  <c r="E228" i="2" s="1"/>
  <c r="B228" i="2"/>
  <c r="D227" i="2"/>
  <c r="C227" i="2"/>
  <c r="E227" i="2" s="1"/>
  <c r="B227" i="2"/>
  <c r="D226" i="2"/>
  <c r="C226" i="2"/>
  <c r="E226" i="2" s="1"/>
  <c r="B226" i="2"/>
  <c r="D225" i="2"/>
  <c r="C225" i="2"/>
  <c r="E225" i="2" s="1"/>
  <c r="B225" i="2"/>
  <c r="D224" i="2"/>
  <c r="C224" i="2"/>
  <c r="E224" i="2" s="1"/>
  <c r="B224" i="2"/>
  <c r="D223" i="2"/>
  <c r="C223" i="2"/>
  <c r="E223" i="2" s="1"/>
  <c r="B223" i="2"/>
  <c r="E222" i="2"/>
  <c r="D222" i="2"/>
  <c r="C222" i="2"/>
  <c r="B222" i="2"/>
  <c r="D221" i="2"/>
  <c r="C221" i="2"/>
  <c r="E221" i="2" s="1"/>
  <c r="B221" i="2"/>
  <c r="D220" i="2"/>
  <c r="C220" i="2"/>
  <c r="E220" i="2" s="1"/>
  <c r="B220" i="2"/>
  <c r="D219" i="2"/>
  <c r="C219" i="2"/>
  <c r="E219" i="2" s="1"/>
  <c r="B219" i="2"/>
  <c r="D218" i="2"/>
  <c r="C218" i="2"/>
  <c r="E218" i="2" s="1"/>
  <c r="B218" i="2"/>
  <c r="D217" i="2"/>
  <c r="C217" i="2"/>
  <c r="E217" i="2" s="1"/>
  <c r="B217" i="2"/>
  <c r="D216" i="2"/>
  <c r="C216" i="2"/>
  <c r="E216" i="2" s="1"/>
  <c r="B216" i="2"/>
  <c r="D215" i="2"/>
  <c r="C215" i="2"/>
  <c r="E215" i="2" s="1"/>
  <c r="B215" i="2"/>
  <c r="D214" i="2"/>
  <c r="C214" i="2"/>
  <c r="E214" i="2" s="1"/>
  <c r="B214" i="2"/>
  <c r="D213" i="2"/>
  <c r="C213" i="2"/>
  <c r="E213" i="2" s="1"/>
  <c r="B213" i="2"/>
  <c r="D212" i="2"/>
  <c r="C212" i="2"/>
  <c r="E212" i="2" s="1"/>
  <c r="B212" i="2"/>
  <c r="E211" i="2"/>
  <c r="D211" i="2"/>
  <c r="C211" i="2"/>
  <c r="B211" i="2"/>
  <c r="D210" i="2"/>
  <c r="C210" i="2"/>
  <c r="E210" i="2" s="1"/>
  <c r="B210" i="2"/>
  <c r="D209" i="2"/>
  <c r="C209" i="2"/>
  <c r="E209" i="2" s="1"/>
  <c r="B209" i="2"/>
  <c r="D208" i="2"/>
  <c r="C208" i="2"/>
  <c r="E208" i="2" s="1"/>
  <c r="B208" i="2"/>
  <c r="E207" i="2"/>
  <c r="D207" i="2"/>
  <c r="C207" i="2"/>
  <c r="B207" i="2"/>
  <c r="D206" i="2"/>
  <c r="C206" i="2"/>
  <c r="E206" i="2" s="1"/>
  <c r="B206" i="2"/>
  <c r="D205" i="2"/>
  <c r="C205" i="2"/>
  <c r="E205" i="2" s="1"/>
  <c r="B205" i="2"/>
  <c r="D204" i="2"/>
  <c r="C204" i="2"/>
  <c r="E204" i="2" s="1"/>
  <c r="B204" i="2"/>
  <c r="D203" i="2"/>
  <c r="C203" i="2"/>
  <c r="E203" i="2" s="1"/>
  <c r="B203" i="2"/>
  <c r="D202" i="2"/>
  <c r="C202" i="2"/>
  <c r="E202" i="2" s="1"/>
  <c r="B202" i="2"/>
  <c r="D201" i="2"/>
  <c r="E201" i="2" s="1"/>
  <c r="C201" i="2"/>
  <c r="B201" i="2"/>
  <c r="E200" i="2"/>
  <c r="D200" i="2"/>
  <c r="C200" i="2"/>
  <c r="B200" i="2"/>
  <c r="D199" i="2"/>
  <c r="C199" i="2"/>
  <c r="E199" i="2" s="1"/>
  <c r="B199" i="2"/>
  <c r="D198" i="2"/>
  <c r="C198" i="2"/>
  <c r="E198" i="2" s="1"/>
  <c r="B198" i="2"/>
  <c r="D197" i="2"/>
  <c r="C197" i="2"/>
  <c r="E197" i="2" s="1"/>
  <c r="B197" i="2"/>
  <c r="D196" i="2"/>
  <c r="C196" i="2"/>
  <c r="E196" i="2" s="1"/>
  <c r="B196" i="2"/>
  <c r="D195" i="2"/>
  <c r="C195" i="2"/>
  <c r="E195" i="2" s="1"/>
  <c r="B195" i="2"/>
  <c r="D194" i="2"/>
  <c r="C194" i="2"/>
  <c r="E194" i="2" s="1"/>
  <c r="B194" i="2"/>
  <c r="D193" i="2"/>
  <c r="C193" i="2"/>
  <c r="E193" i="2" s="1"/>
  <c r="B193" i="2"/>
  <c r="D192" i="2"/>
  <c r="C192" i="2"/>
  <c r="E192" i="2" s="1"/>
  <c r="B192" i="2"/>
  <c r="D191" i="2"/>
  <c r="C191" i="2"/>
  <c r="E191" i="2" s="1"/>
  <c r="B191" i="2"/>
  <c r="D190" i="2"/>
  <c r="C190" i="2"/>
  <c r="E190" i="2" s="1"/>
  <c r="B190" i="2"/>
  <c r="E189" i="2"/>
  <c r="D189" i="2"/>
  <c r="C189" i="2"/>
  <c r="B189" i="2"/>
  <c r="D188" i="2"/>
  <c r="C188" i="2"/>
  <c r="E188" i="2" s="1"/>
  <c r="B188" i="2"/>
  <c r="D187" i="2"/>
  <c r="C187" i="2"/>
  <c r="E187" i="2" s="1"/>
  <c r="B187" i="2"/>
  <c r="D186" i="2"/>
  <c r="C186" i="2"/>
  <c r="E186" i="2" s="1"/>
  <c r="B186" i="2"/>
  <c r="D185" i="2"/>
  <c r="C185" i="2"/>
  <c r="E185" i="2" s="1"/>
  <c r="B185" i="2"/>
  <c r="D184" i="2"/>
  <c r="C184" i="2"/>
  <c r="E184" i="2" s="1"/>
  <c r="B184" i="2"/>
  <c r="D183" i="2"/>
  <c r="C183" i="2"/>
  <c r="E183" i="2" s="1"/>
  <c r="B183" i="2"/>
  <c r="D182" i="2"/>
  <c r="C182" i="2"/>
  <c r="E182" i="2" s="1"/>
  <c r="B182" i="2"/>
  <c r="D181" i="2"/>
  <c r="C181" i="2"/>
  <c r="E181" i="2" s="1"/>
  <c r="B181" i="2"/>
  <c r="D180" i="2"/>
  <c r="C180" i="2"/>
  <c r="E180" i="2" s="1"/>
  <c r="B180" i="2"/>
  <c r="D179" i="2"/>
  <c r="C179" i="2"/>
  <c r="E179" i="2" s="1"/>
  <c r="B179" i="2"/>
  <c r="E178" i="2"/>
  <c r="D178" i="2"/>
  <c r="C178" i="2"/>
  <c r="B178" i="2"/>
  <c r="D177" i="2"/>
  <c r="C177" i="2"/>
  <c r="E177" i="2" s="1"/>
  <c r="B177" i="2"/>
  <c r="D176" i="2"/>
  <c r="C176" i="2"/>
  <c r="E176" i="2" s="1"/>
  <c r="B176" i="2"/>
  <c r="D175" i="2"/>
  <c r="C175" i="2"/>
  <c r="E175" i="2" s="1"/>
  <c r="B175" i="2"/>
  <c r="D174" i="2"/>
  <c r="C174" i="2"/>
  <c r="E174" i="2" s="1"/>
  <c r="B174" i="2"/>
  <c r="D173" i="2"/>
  <c r="C173" i="2"/>
  <c r="E173" i="2" s="1"/>
  <c r="B173" i="2"/>
  <c r="D172" i="2"/>
  <c r="C172" i="2"/>
  <c r="E172" i="2" s="1"/>
  <c r="B172" i="2"/>
  <c r="D171" i="2"/>
  <c r="C171" i="2"/>
  <c r="E171" i="2" s="1"/>
  <c r="B171" i="2"/>
  <c r="D170" i="2"/>
  <c r="C170" i="2"/>
  <c r="E170" i="2" s="1"/>
  <c r="B170" i="2"/>
  <c r="D169" i="2"/>
  <c r="C169" i="2"/>
  <c r="E169" i="2" s="1"/>
  <c r="B169" i="2"/>
  <c r="D168" i="2"/>
  <c r="C168" i="2"/>
  <c r="E168" i="2" s="1"/>
  <c r="B168" i="2"/>
  <c r="E167" i="2"/>
  <c r="D167" i="2"/>
  <c r="C167" i="2"/>
  <c r="B167" i="2"/>
  <c r="D166" i="2"/>
  <c r="C166" i="2"/>
  <c r="E166" i="2" s="1"/>
  <c r="B166" i="2"/>
  <c r="D165" i="2"/>
  <c r="C165" i="2"/>
  <c r="E165" i="2" s="1"/>
  <c r="B165" i="2"/>
  <c r="D164" i="2"/>
  <c r="C164" i="2"/>
  <c r="E164" i="2" s="1"/>
  <c r="B164" i="2"/>
  <c r="D163" i="2"/>
  <c r="C163" i="2"/>
  <c r="E163" i="2" s="1"/>
  <c r="B163" i="2"/>
  <c r="E162" i="2"/>
  <c r="D162" i="2"/>
  <c r="C162" i="2"/>
  <c r="B162" i="2"/>
  <c r="D161" i="2"/>
  <c r="C161" i="2"/>
  <c r="E161" i="2" s="1"/>
  <c r="B161" i="2"/>
  <c r="D160" i="2"/>
  <c r="C160" i="2"/>
  <c r="E160" i="2" s="1"/>
  <c r="B160" i="2"/>
  <c r="D159" i="2"/>
  <c r="C159" i="2"/>
  <c r="E159" i="2" s="1"/>
  <c r="B159" i="2"/>
  <c r="D158" i="2"/>
  <c r="C158" i="2"/>
  <c r="E158" i="2" s="1"/>
  <c r="B158" i="2"/>
  <c r="D157" i="2"/>
  <c r="C157" i="2"/>
  <c r="E157" i="2" s="1"/>
  <c r="B157" i="2"/>
  <c r="E156" i="2"/>
  <c r="D156" i="2"/>
  <c r="C156" i="2"/>
  <c r="B156" i="2"/>
  <c r="D155" i="2"/>
  <c r="C155" i="2"/>
  <c r="E155" i="2" s="1"/>
  <c r="B155" i="2"/>
  <c r="D154" i="2"/>
  <c r="C154" i="2"/>
  <c r="E154" i="2" s="1"/>
  <c r="B154" i="2"/>
  <c r="D153" i="2"/>
  <c r="C153" i="2"/>
  <c r="E153" i="2" s="1"/>
  <c r="B153" i="2"/>
  <c r="D152" i="2"/>
  <c r="C152" i="2"/>
  <c r="E152" i="2" s="1"/>
  <c r="B152" i="2"/>
  <c r="D151" i="2"/>
  <c r="C151" i="2"/>
  <c r="E151" i="2" s="1"/>
  <c r="B151" i="2"/>
  <c r="D150" i="2"/>
  <c r="C150" i="2"/>
  <c r="E150" i="2" s="1"/>
  <c r="B150" i="2"/>
  <c r="D149" i="2"/>
  <c r="C149" i="2"/>
  <c r="E149" i="2" s="1"/>
  <c r="B149" i="2"/>
  <c r="D148" i="2"/>
  <c r="C148" i="2"/>
  <c r="E148" i="2" s="1"/>
  <c r="B148" i="2"/>
  <c r="D147" i="2"/>
  <c r="C147" i="2"/>
  <c r="E147" i="2" s="1"/>
  <c r="B147" i="2"/>
  <c r="D146" i="2"/>
  <c r="C146" i="2"/>
  <c r="E146" i="2" s="1"/>
  <c r="B146" i="2"/>
  <c r="E145" i="2"/>
  <c r="D145" i="2"/>
  <c r="C145" i="2"/>
  <c r="B145" i="2"/>
  <c r="D144" i="2"/>
  <c r="C144" i="2"/>
  <c r="E144" i="2" s="1"/>
  <c r="B144" i="2"/>
  <c r="D143" i="2"/>
  <c r="C143" i="2"/>
  <c r="E143" i="2" s="1"/>
  <c r="B143" i="2"/>
  <c r="D142" i="2"/>
  <c r="C142" i="2"/>
  <c r="E142" i="2" s="1"/>
  <c r="B142" i="2"/>
  <c r="D141" i="2"/>
  <c r="C141" i="2"/>
  <c r="E141" i="2" s="1"/>
  <c r="B141" i="2"/>
  <c r="D140" i="2"/>
  <c r="C140" i="2"/>
  <c r="E140" i="2" s="1"/>
  <c r="B140" i="2"/>
  <c r="D139" i="2"/>
  <c r="C139" i="2"/>
  <c r="E139" i="2" s="1"/>
  <c r="B139" i="2"/>
  <c r="D138" i="2"/>
  <c r="C138" i="2"/>
  <c r="E138" i="2" s="1"/>
  <c r="B138" i="2"/>
  <c r="D137" i="2"/>
  <c r="C137" i="2"/>
  <c r="E137" i="2" s="1"/>
  <c r="B137" i="2"/>
  <c r="D136" i="2"/>
  <c r="C136" i="2"/>
  <c r="E136" i="2" s="1"/>
  <c r="B136" i="2"/>
  <c r="D135" i="2"/>
  <c r="C135" i="2"/>
  <c r="E135" i="2" s="1"/>
  <c r="B135" i="2"/>
  <c r="E134" i="2"/>
  <c r="D134" i="2"/>
  <c r="C134" i="2"/>
  <c r="B134" i="2"/>
  <c r="D133" i="2"/>
  <c r="C133" i="2"/>
  <c r="E133" i="2" s="1"/>
  <c r="B133" i="2"/>
  <c r="D132" i="2"/>
  <c r="C132" i="2"/>
  <c r="E132" i="2" s="1"/>
  <c r="B132" i="2"/>
  <c r="D131" i="2"/>
  <c r="C131" i="2"/>
  <c r="E131" i="2" s="1"/>
  <c r="B131" i="2"/>
  <c r="E130" i="2"/>
  <c r="D130" i="2"/>
  <c r="C130" i="2"/>
  <c r="B130" i="2"/>
  <c r="D129" i="2"/>
  <c r="C129" i="2"/>
  <c r="E129" i="2" s="1"/>
  <c r="B129" i="2"/>
  <c r="D128" i="2"/>
  <c r="C128" i="2"/>
  <c r="E128" i="2" s="1"/>
  <c r="B128" i="2"/>
  <c r="D127" i="2"/>
  <c r="C127" i="2"/>
  <c r="E127" i="2" s="1"/>
  <c r="B127" i="2"/>
  <c r="D126" i="2"/>
  <c r="C126" i="2"/>
  <c r="E126" i="2" s="1"/>
  <c r="B126" i="2"/>
  <c r="D125" i="2"/>
  <c r="C125" i="2"/>
  <c r="E125" i="2" s="1"/>
  <c r="B125" i="2"/>
  <c r="D124" i="2"/>
  <c r="E124" i="2" s="1"/>
  <c r="C124" i="2"/>
  <c r="B124" i="2"/>
  <c r="E123" i="2"/>
  <c r="D123" i="2"/>
  <c r="C123" i="2"/>
  <c r="B123" i="2"/>
  <c r="D122" i="2"/>
  <c r="C122" i="2"/>
  <c r="E122" i="2" s="1"/>
  <c r="B122" i="2"/>
  <c r="D121" i="2"/>
  <c r="C121" i="2"/>
  <c r="E121" i="2" s="1"/>
  <c r="B121" i="2"/>
  <c r="D120" i="2"/>
  <c r="C120" i="2"/>
  <c r="E120" i="2" s="1"/>
  <c r="B120" i="2"/>
  <c r="D119" i="2"/>
  <c r="C119" i="2"/>
  <c r="E119" i="2" s="1"/>
  <c r="B119" i="2"/>
  <c r="D118" i="2"/>
  <c r="C118" i="2"/>
  <c r="E118" i="2" s="1"/>
  <c r="B118" i="2"/>
  <c r="D117" i="2"/>
  <c r="C117" i="2"/>
  <c r="E117" i="2" s="1"/>
  <c r="B117" i="2"/>
  <c r="D116" i="2"/>
  <c r="C116" i="2"/>
  <c r="E116" i="2" s="1"/>
  <c r="B116" i="2"/>
  <c r="D115" i="2"/>
  <c r="C115" i="2"/>
  <c r="E115" i="2" s="1"/>
  <c r="B115" i="2"/>
  <c r="D114" i="2"/>
  <c r="C114" i="2"/>
  <c r="E114" i="2" s="1"/>
  <c r="B114" i="2"/>
  <c r="D113" i="2"/>
  <c r="C113" i="2"/>
  <c r="E113" i="2" s="1"/>
  <c r="B113" i="2"/>
  <c r="E112" i="2"/>
  <c r="D112" i="2"/>
  <c r="C112" i="2"/>
  <c r="B112" i="2"/>
  <c r="D111" i="2"/>
  <c r="C111" i="2"/>
  <c r="E111" i="2" s="1"/>
  <c r="B111" i="2"/>
  <c r="D110" i="2"/>
  <c r="C110" i="2"/>
  <c r="E110" i="2" s="1"/>
  <c r="B110" i="2"/>
  <c r="D109" i="2"/>
  <c r="C109" i="2"/>
  <c r="E109" i="2" s="1"/>
  <c r="B109" i="2"/>
  <c r="D108" i="2"/>
  <c r="C108" i="2"/>
  <c r="E108" i="2" s="1"/>
  <c r="B108" i="2"/>
  <c r="D107" i="2"/>
  <c r="C107" i="2"/>
  <c r="E107" i="2" s="1"/>
  <c r="B107" i="2"/>
  <c r="D106" i="2"/>
  <c r="C106" i="2"/>
  <c r="E106" i="2" s="1"/>
  <c r="B106" i="2"/>
  <c r="D105" i="2"/>
  <c r="C105" i="2"/>
  <c r="E105" i="2" s="1"/>
  <c r="B105" i="2"/>
  <c r="D104" i="2"/>
  <c r="C104" i="2"/>
  <c r="E104" i="2" s="1"/>
  <c r="B104" i="2"/>
  <c r="D103" i="2"/>
  <c r="C103" i="2"/>
  <c r="E103" i="2" s="1"/>
  <c r="B103" i="2"/>
  <c r="D102" i="2"/>
  <c r="C102" i="2"/>
  <c r="E102" i="2" s="1"/>
  <c r="B102" i="2"/>
  <c r="E101" i="2"/>
  <c r="D101" i="2"/>
  <c r="C101" i="2"/>
  <c r="B101" i="2"/>
  <c r="D100" i="2"/>
  <c r="C100" i="2"/>
  <c r="E100" i="2" s="1"/>
  <c r="B100" i="2"/>
  <c r="D99" i="2"/>
  <c r="C99" i="2"/>
  <c r="E99" i="2" s="1"/>
  <c r="B99" i="2"/>
  <c r="D98" i="2"/>
  <c r="C98" i="2"/>
  <c r="E98" i="2" s="1"/>
  <c r="B98" i="2"/>
  <c r="D97" i="2"/>
  <c r="C97" i="2"/>
  <c r="E97" i="2" s="1"/>
  <c r="B97" i="2"/>
  <c r="D96" i="2"/>
  <c r="C96" i="2"/>
  <c r="E96" i="2" s="1"/>
  <c r="B96" i="2"/>
  <c r="D95" i="2"/>
  <c r="C95" i="2"/>
  <c r="E95" i="2" s="1"/>
  <c r="B95" i="2"/>
  <c r="D94" i="2"/>
  <c r="C94" i="2"/>
  <c r="E94" i="2" s="1"/>
  <c r="B94" i="2"/>
  <c r="D93" i="2"/>
  <c r="C93" i="2"/>
  <c r="E93" i="2" s="1"/>
  <c r="B93" i="2"/>
  <c r="D92" i="2"/>
  <c r="E92" i="2" s="1"/>
  <c r="C92" i="2"/>
  <c r="B92" i="2"/>
  <c r="D91" i="2"/>
  <c r="C91" i="2"/>
  <c r="E91" i="2" s="1"/>
  <c r="B91" i="2"/>
  <c r="E90" i="2"/>
  <c r="D90" i="2"/>
  <c r="C90" i="2"/>
  <c r="B90" i="2"/>
  <c r="D89" i="2"/>
  <c r="C89" i="2"/>
  <c r="E89" i="2" s="1"/>
  <c r="B89" i="2"/>
  <c r="D88" i="2"/>
  <c r="C88" i="2"/>
  <c r="E88" i="2" s="1"/>
  <c r="B88" i="2"/>
  <c r="D87" i="2"/>
  <c r="C87" i="2"/>
  <c r="E87" i="2" s="1"/>
  <c r="B87" i="2"/>
  <c r="D86" i="2"/>
  <c r="C86" i="2"/>
  <c r="E86" i="2" s="1"/>
  <c r="B86" i="2"/>
  <c r="D85" i="2"/>
  <c r="C85" i="2"/>
  <c r="E85" i="2" s="1"/>
  <c r="B85" i="2"/>
  <c r="D84" i="2"/>
  <c r="C84" i="2"/>
  <c r="E84" i="2" s="1"/>
  <c r="B84" i="2"/>
  <c r="D83" i="2"/>
  <c r="C83" i="2"/>
  <c r="E83" i="2" s="1"/>
  <c r="B83" i="2"/>
  <c r="D82" i="2"/>
  <c r="C82" i="2"/>
  <c r="E82" i="2" s="1"/>
  <c r="B82" i="2"/>
  <c r="D81" i="2"/>
  <c r="C81" i="2"/>
  <c r="E81" i="2" s="1"/>
  <c r="B81" i="2"/>
  <c r="D80" i="2"/>
  <c r="C80" i="2"/>
  <c r="E80" i="2" s="1"/>
  <c r="B80" i="2"/>
  <c r="E79" i="2"/>
  <c r="D79" i="2"/>
  <c r="C79" i="2"/>
  <c r="B79" i="2"/>
  <c r="D78" i="2"/>
  <c r="C78" i="2"/>
  <c r="E78" i="2" s="1"/>
  <c r="B78" i="2"/>
  <c r="D77" i="2"/>
  <c r="C77" i="2"/>
  <c r="E77" i="2" s="1"/>
  <c r="B77" i="2"/>
  <c r="D76" i="2"/>
  <c r="C76" i="2"/>
  <c r="E76" i="2" s="1"/>
  <c r="B76" i="2"/>
  <c r="D75" i="2"/>
  <c r="C75" i="2"/>
  <c r="E75" i="2" s="1"/>
  <c r="B75" i="2"/>
  <c r="D74" i="2"/>
  <c r="C74" i="2"/>
  <c r="E74" i="2" s="1"/>
  <c r="B74" i="2"/>
  <c r="D73" i="2"/>
  <c r="C73" i="2"/>
  <c r="E73" i="2" s="1"/>
  <c r="B73" i="2"/>
  <c r="D72" i="2"/>
  <c r="C72" i="2"/>
  <c r="E72" i="2" s="1"/>
  <c r="B72" i="2"/>
  <c r="D71" i="2"/>
  <c r="C71" i="2"/>
  <c r="E71" i="2" s="1"/>
  <c r="B71" i="2"/>
  <c r="D70" i="2"/>
  <c r="C70" i="2"/>
  <c r="E70" i="2" s="1"/>
  <c r="B70" i="2"/>
  <c r="D69" i="2"/>
  <c r="C69" i="2"/>
  <c r="E69" i="2" s="1"/>
  <c r="B69" i="2"/>
  <c r="E68" i="2"/>
  <c r="D68" i="2"/>
  <c r="C68" i="2"/>
  <c r="B68" i="2"/>
  <c r="D67" i="2"/>
  <c r="C67" i="2"/>
  <c r="E67" i="2" s="1"/>
  <c r="B67" i="2"/>
  <c r="D66" i="2"/>
  <c r="C66" i="2"/>
  <c r="E66" i="2" s="1"/>
  <c r="B66" i="2"/>
  <c r="D65" i="2"/>
  <c r="C65" i="2"/>
  <c r="E65" i="2" s="1"/>
  <c r="B65" i="2"/>
  <c r="D64" i="2"/>
  <c r="C64" i="2"/>
  <c r="E64" i="2" s="1"/>
  <c r="B64" i="2"/>
  <c r="D63" i="2"/>
  <c r="C63" i="2"/>
  <c r="E63" i="2" s="1"/>
  <c r="B63" i="2"/>
  <c r="D62" i="2"/>
  <c r="C62" i="2"/>
  <c r="E62" i="2" s="1"/>
  <c r="B62" i="2"/>
  <c r="D61" i="2"/>
  <c r="C61" i="2"/>
  <c r="E61" i="2" s="1"/>
  <c r="B61" i="2"/>
  <c r="D60" i="2"/>
  <c r="C60" i="2"/>
  <c r="E60" i="2" s="1"/>
  <c r="B60" i="2"/>
  <c r="D59" i="2"/>
  <c r="C59" i="2"/>
  <c r="E59" i="2" s="1"/>
  <c r="B59" i="2"/>
  <c r="D58" i="2"/>
  <c r="C58" i="2"/>
  <c r="E58" i="2" s="1"/>
  <c r="B58" i="2"/>
  <c r="E57" i="2"/>
  <c r="D57" i="2"/>
  <c r="C57" i="2"/>
  <c r="B57" i="2"/>
  <c r="D56" i="2"/>
  <c r="C56" i="2"/>
  <c r="E56" i="2" s="1"/>
  <c r="B56" i="2"/>
  <c r="D55" i="2"/>
  <c r="C55" i="2"/>
  <c r="E55" i="2" s="1"/>
  <c r="B55" i="2"/>
  <c r="D54" i="2"/>
  <c r="C54" i="2"/>
  <c r="E54" i="2" s="1"/>
  <c r="B54" i="2"/>
  <c r="D53" i="2"/>
  <c r="C53" i="2"/>
  <c r="E53" i="2" s="1"/>
  <c r="B53" i="2"/>
  <c r="D52" i="2"/>
  <c r="C52" i="2"/>
  <c r="E52" i="2" s="1"/>
  <c r="B52" i="2"/>
  <c r="D51" i="2"/>
  <c r="C51" i="2"/>
  <c r="E51" i="2" s="1"/>
  <c r="B51" i="2"/>
  <c r="D50" i="2"/>
  <c r="C50" i="2"/>
  <c r="E50" i="2" s="1"/>
  <c r="B50" i="2"/>
  <c r="D49" i="2"/>
  <c r="C49" i="2"/>
  <c r="E49" i="2" s="1"/>
  <c r="B49" i="2"/>
  <c r="D48" i="2"/>
  <c r="C48" i="2"/>
  <c r="E48" i="2" s="1"/>
  <c r="B48" i="2"/>
  <c r="D47" i="2"/>
  <c r="C47" i="2"/>
  <c r="E47" i="2" s="1"/>
  <c r="B47" i="2"/>
  <c r="E46" i="2"/>
  <c r="D46" i="2"/>
  <c r="C46" i="2"/>
  <c r="B46" i="2"/>
  <c r="D45" i="2"/>
  <c r="C45" i="2"/>
  <c r="E45" i="2" s="1"/>
  <c r="B45" i="2"/>
  <c r="D44" i="2"/>
  <c r="C44" i="2"/>
  <c r="E44" i="2" s="1"/>
  <c r="B44" i="2"/>
  <c r="D43" i="2"/>
  <c r="C43" i="2"/>
  <c r="E43" i="2" s="1"/>
  <c r="B43" i="2"/>
  <c r="D42" i="2"/>
  <c r="C42" i="2"/>
  <c r="E42" i="2" s="1"/>
  <c r="B42" i="2"/>
  <c r="E41" i="2"/>
  <c r="D41" i="2"/>
  <c r="C41" i="2"/>
  <c r="B41" i="2"/>
  <c r="D40" i="2"/>
  <c r="C40" i="2"/>
  <c r="E40" i="2" s="1"/>
  <c r="B40" i="2"/>
  <c r="D39" i="2"/>
  <c r="C39" i="2"/>
  <c r="E39" i="2" s="1"/>
  <c r="B39" i="2"/>
  <c r="D38" i="2"/>
  <c r="C38" i="2"/>
  <c r="E38" i="2" s="1"/>
  <c r="B38" i="2"/>
  <c r="D37" i="2"/>
  <c r="C37" i="2"/>
  <c r="E37" i="2" s="1"/>
  <c r="B37" i="2"/>
  <c r="D36" i="2"/>
  <c r="C36" i="2"/>
  <c r="E36" i="2" s="1"/>
  <c r="B36" i="2"/>
  <c r="E35" i="2"/>
  <c r="D35" i="2"/>
  <c r="C35" i="2"/>
  <c r="B35" i="2"/>
  <c r="D34" i="2"/>
  <c r="C34" i="2"/>
  <c r="E34" i="2" s="1"/>
  <c r="B34" i="2"/>
  <c r="D33" i="2"/>
  <c r="C33" i="2"/>
  <c r="E33" i="2" s="1"/>
  <c r="B33" i="2"/>
  <c r="D32" i="2"/>
  <c r="C32" i="2"/>
  <c r="E32" i="2" s="1"/>
  <c r="B32" i="2"/>
  <c r="D31" i="2"/>
  <c r="C31" i="2"/>
  <c r="E31" i="2" s="1"/>
  <c r="B31" i="2"/>
  <c r="D30" i="2"/>
  <c r="C30" i="2"/>
  <c r="E30" i="2" s="1"/>
  <c r="B30" i="2"/>
  <c r="D29" i="2"/>
  <c r="C29" i="2"/>
  <c r="E29" i="2" s="1"/>
  <c r="B29" i="2"/>
  <c r="D28" i="2"/>
  <c r="C28" i="2"/>
  <c r="E28" i="2" s="1"/>
  <c r="B28" i="2"/>
  <c r="D27" i="2"/>
  <c r="C27" i="2"/>
  <c r="E27" i="2" s="1"/>
  <c r="B27" i="2"/>
  <c r="D26" i="2"/>
  <c r="C26" i="2"/>
  <c r="E26" i="2" s="1"/>
  <c r="B26" i="2"/>
  <c r="D25" i="2"/>
  <c r="C25" i="2"/>
  <c r="E25" i="2" s="1"/>
  <c r="B25" i="2"/>
  <c r="E24" i="2"/>
  <c r="D24" i="2"/>
  <c r="C24" i="2"/>
  <c r="B24" i="2"/>
  <c r="D23" i="2"/>
  <c r="C23" i="2"/>
  <c r="E23" i="2" s="1"/>
  <c r="B23" i="2"/>
  <c r="D22" i="2"/>
  <c r="C22" i="2"/>
  <c r="E22" i="2" s="1"/>
  <c r="B22" i="2"/>
  <c r="D21" i="2"/>
  <c r="C21" i="2"/>
  <c r="E21" i="2" s="1"/>
  <c r="B21" i="2"/>
  <c r="D20" i="2"/>
  <c r="C20" i="2"/>
  <c r="E20" i="2" s="1"/>
  <c r="B20" i="2"/>
  <c r="D19" i="2"/>
  <c r="C19" i="2"/>
  <c r="E19" i="2" s="1"/>
  <c r="B19" i="2"/>
  <c r="D18" i="2"/>
  <c r="C18" i="2"/>
  <c r="E18" i="2" s="1"/>
  <c r="B18" i="2"/>
  <c r="D17" i="2"/>
  <c r="C17" i="2"/>
  <c r="E17" i="2" s="1"/>
  <c r="B17" i="2"/>
  <c r="D16" i="2"/>
  <c r="C16" i="2"/>
  <c r="E16" i="2" s="1"/>
  <c r="B16" i="2"/>
  <c r="D15" i="2"/>
  <c r="C15" i="2"/>
  <c r="E15" i="2" s="1"/>
  <c r="B15" i="2"/>
  <c r="D14" i="2"/>
  <c r="C14" i="2"/>
  <c r="E14" i="2" s="1"/>
  <c r="B14" i="2"/>
  <c r="E13" i="2"/>
  <c r="D13" i="2"/>
  <c r="C13" i="2"/>
  <c r="B13" i="2"/>
  <c r="D12" i="2"/>
  <c r="C12" i="2"/>
  <c r="E12" i="2" s="1"/>
  <c r="B12" i="2"/>
  <c r="D11" i="2"/>
  <c r="C11" i="2"/>
  <c r="E11" i="2" s="1"/>
  <c r="B11" i="2"/>
  <c r="D10" i="2"/>
  <c r="C10" i="2"/>
  <c r="E10" i="2" s="1"/>
  <c r="B10" i="2"/>
  <c r="E9" i="2"/>
  <c r="D9" i="2"/>
  <c r="C9" i="2"/>
  <c r="B9" i="2"/>
  <c r="D8" i="2"/>
  <c r="C8" i="2"/>
  <c r="E8" i="2" s="1"/>
  <c r="B8" i="2"/>
  <c r="D7" i="2"/>
  <c r="C7" i="2"/>
  <c r="E7" i="2" s="1"/>
  <c r="B7" i="2"/>
  <c r="D6" i="2"/>
  <c r="C6" i="2"/>
  <c r="E6" i="2" s="1"/>
  <c r="B6" i="2"/>
  <c r="C5" i="2"/>
  <c r="B5" i="2"/>
</calcChain>
</file>

<file path=xl/sharedStrings.xml><?xml version="1.0" encoding="utf-8"?>
<sst xmlns="http://schemas.openxmlformats.org/spreadsheetml/2006/main" count="299" uniqueCount="295">
  <si>
    <t>DATA HISTORIS HARGA PENUTUPAN MINGGUAN SAHAM PT TELKOM INDONESIA (PERSERO) TBK (TLKM.JK)</t>
  </si>
  <si>
    <t>Periode: 1 Oktober 2021 s.d. 1 Oktober 2026 | Frekuensi: Mingguan (Weekly Close)</t>
  </si>
  <si>
    <t>No</t>
  </si>
  <si>
    <t>Tanggal</t>
  </si>
  <si>
    <t>Open</t>
  </si>
  <si>
    <t>High</t>
  </si>
  <si>
    <t>Low</t>
  </si>
  <si>
    <t>Close</t>
  </si>
  <si>
    <t>Adj Close</t>
  </si>
  <si>
    <t>Volume</t>
  </si>
  <si>
    <t>Oct 01, 2021</t>
  </si>
  <si>
    <t>Oct 08, 2021</t>
  </si>
  <si>
    <t>Oct 15, 2021</t>
  </si>
  <si>
    <t>Oct 22, 2021</t>
  </si>
  <si>
    <t>Oct 29, 2021</t>
  </si>
  <si>
    <t>Nov 05, 2021</t>
  </si>
  <si>
    <t>Nov 12, 2021</t>
  </si>
  <si>
    <t>Nov 19, 2021</t>
  </si>
  <si>
    <t>Nov 26, 2021</t>
  </si>
  <si>
    <t>Dec 03, 2021</t>
  </si>
  <si>
    <t>Dec 10, 2021</t>
  </si>
  <si>
    <t>Dec 17, 2021</t>
  </si>
  <si>
    <t>Dec 24, 2021</t>
  </si>
  <si>
    <t>Dec 31, 2021</t>
  </si>
  <si>
    <t>Jan 07, 2022</t>
  </si>
  <si>
    <t>Jan 14, 2022</t>
  </si>
  <si>
    <t>Jan 21, 2022</t>
  </si>
  <si>
    <t>Jan 28, 2022</t>
  </si>
  <si>
    <t>Feb 04, 2022</t>
  </si>
  <si>
    <t>Feb 11, 2022</t>
  </si>
  <si>
    <t>Feb 18, 2022</t>
  </si>
  <si>
    <t>Feb 25, 2022</t>
  </si>
  <si>
    <t>Mar 04, 2022</t>
  </si>
  <si>
    <t>Mar 11, 2022</t>
  </si>
  <si>
    <t>Mar 18, 2022</t>
  </si>
  <si>
    <t>Mar 25, 2022</t>
  </si>
  <si>
    <t>Apr 01, 2022</t>
  </si>
  <si>
    <t>Apr 08, 2022</t>
  </si>
  <si>
    <t>Apr 15, 2022</t>
  </si>
  <si>
    <t>Apr 22, 2022</t>
  </si>
  <si>
    <t>Apr 29, 2022</t>
  </si>
  <si>
    <t>May 06, 2022</t>
  </si>
  <si>
    <t>May 13, 2022</t>
  </si>
  <si>
    <t>May 20, 2022</t>
  </si>
  <si>
    <t>May 27, 2022</t>
  </si>
  <si>
    <t>Jun 03, 2022</t>
  </si>
  <si>
    <t>Jun 10, 2022</t>
  </si>
  <si>
    <t>Jun 17, 2022</t>
  </si>
  <si>
    <t>Jun 24, 2022</t>
  </si>
  <si>
    <t>Jul 01, 2022</t>
  </si>
  <si>
    <t>Jul 08, 2022</t>
  </si>
  <si>
    <t>Jul 15, 2022</t>
  </si>
  <si>
    <t>Jul 22, 2022</t>
  </si>
  <si>
    <t>Jul 29, 2022</t>
  </si>
  <si>
    <t>Aug 05, 2022</t>
  </si>
  <si>
    <t>Aug 12, 2022</t>
  </si>
  <si>
    <t>Aug 19, 2022</t>
  </si>
  <si>
    <t>Aug 26, 2022</t>
  </si>
  <si>
    <t>Sep 02, 2022</t>
  </si>
  <si>
    <t>Sep 09, 2022</t>
  </si>
  <si>
    <t>Sep 16, 2022</t>
  </si>
  <si>
    <t>Sep 23, 2022</t>
  </si>
  <si>
    <t>Sep 30, 2022</t>
  </si>
  <si>
    <t>Oct 07, 2022</t>
  </si>
  <si>
    <t>Oct 14, 2022</t>
  </si>
  <si>
    <t>Oct 21, 2022</t>
  </si>
  <si>
    <t>Oct 28, 2022</t>
  </si>
  <si>
    <t>Nov 04, 2022</t>
  </si>
  <si>
    <t>Nov 11, 2022</t>
  </si>
  <si>
    <t>Nov 18, 2022</t>
  </si>
  <si>
    <t>Nov 25, 2022</t>
  </si>
  <si>
    <t>Dec 02, 2022</t>
  </si>
  <si>
    <t>Dec 09, 2022</t>
  </si>
  <si>
    <t>Dec 16, 2022</t>
  </si>
  <si>
    <t>Dec 23, 2022</t>
  </si>
  <si>
    <t>Dec 30, 2022</t>
  </si>
  <si>
    <t>Jan 06, 2023</t>
  </si>
  <si>
    <t>Jan 13, 2023</t>
  </si>
  <si>
    <t>Jan 20, 2023</t>
  </si>
  <si>
    <t>Jan 27, 2023</t>
  </si>
  <si>
    <t>Feb 03, 2023</t>
  </si>
  <si>
    <t>Feb 10, 2023</t>
  </si>
  <si>
    <t>Feb 17, 2023</t>
  </si>
  <si>
    <t>Feb 24, 2023</t>
  </si>
  <si>
    <t>Mar 03, 2023</t>
  </si>
  <si>
    <t>Mar 10, 2023</t>
  </si>
  <si>
    <t>Mar 17, 2023</t>
  </si>
  <si>
    <t>Mar 24, 2023</t>
  </si>
  <si>
    <t>Mar 31, 2023</t>
  </si>
  <si>
    <t>Apr 07, 2023</t>
  </si>
  <si>
    <t>Apr 14, 2023</t>
  </si>
  <si>
    <t>Apr 21, 2023</t>
  </si>
  <si>
    <t>Apr 28, 2023</t>
  </si>
  <si>
    <t>May 05, 2023</t>
  </si>
  <si>
    <t>May 12, 2023</t>
  </si>
  <si>
    <t>May 19, 2023</t>
  </si>
  <si>
    <t>May 26, 2023</t>
  </si>
  <si>
    <t>Jun 02, 2023</t>
  </si>
  <si>
    <t>Jun 09, 2023</t>
  </si>
  <si>
    <t>Jun 16, 2023</t>
  </si>
  <si>
    <t>Jun 23, 2023</t>
  </si>
  <si>
    <t>Jun 30, 2023</t>
  </si>
  <si>
    <t>Jul 07, 2023</t>
  </si>
  <si>
    <t>Jul 14, 2023</t>
  </si>
  <si>
    <t>Jul 21, 2023</t>
  </si>
  <si>
    <t>Jul 28, 2023</t>
  </si>
  <si>
    <t>Aug 04, 2023</t>
  </si>
  <si>
    <t>Aug 11, 2023</t>
  </si>
  <si>
    <t>Aug 18, 2023</t>
  </si>
  <si>
    <t>Aug 25, 2023</t>
  </si>
  <si>
    <t>Sep 01, 2023</t>
  </si>
  <si>
    <t>Sep 08, 2023</t>
  </si>
  <si>
    <t>Sep 15, 2023</t>
  </si>
  <si>
    <t>Sep 22, 2023</t>
  </si>
  <si>
    <t>Sep 29, 2023</t>
  </si>
  <si>
    <t>Oct 06, 2023</t>
  </si>
  <si>
    <t>Oct 13, 2023</t>
  </si>
  <si>
    <t>Oct 20, 2023</t>
  </si>
  <si>
    <t>Oct 27, 2023</t>
  </si>
  <si>
    <t>Nov 03, 2023</t>
  </si>
  <si>
    <t>Nov 10, 2023</t>
  </si>
  <si>
    <t>Nov 17, 2023</t>
  </si>
  <si>
    <t>Nov 24, 2023</t>
  </si>
  <si>
    <t>Dec 01, 2023</t>
  </si>
  <si>
    <t>Dec 08, 2023</t>
  </si>
  <si>
    <t>Dec 15, 2023</t>
  </si>
  <si>
    <t>Dec 22, 2023</t>
  </si>
  <si>
    <t>Dec 29, 2023</t>
  </si>
  <si>
    <t>Jan 05, 2024</t>
  </si>
  <si>
    <t>Jan 12, 2024</t>
  </si>
  <si>
    <t>Jan 19, 2024</t>
  </si>
  <si>
    <t>Jan 26, 2024</t>
  </si>
  <si>
    <t>Feb 02, 2024</t>
  </si>
  <si>
    <t>Feb 09, 2024</t>
  </si>
  <si>
    <t>Feb 16, 2024</t>
  </si>
  <si>
    <t>Feb 23, 2024</t>
  </si>
  <si>
    <t>Mar 01, 2024</t>
  </si>
  <si>
    <t>Mar 08, 2024</t>
  </si>
  <si>
    <t>Mar 15, 2024</t>
  </si>
  <si>
    <t>Mar 22, 2024</t>
  </si>
  <si>
    <t>Mar 29, 2024</t>
  </si>
  <si>
    <t>Apr 05, 2024</t>
  </si>
  <si>
    <t>Apr 12, 2024</t>
  </si>
  <si>
    <t>Apr 19, 2024</t>
  </si>
  <si>
    <t>Apr 26, 2024</t>
  </si>
  <si>
    <t>May 03, 2024</t>
  </si>
  <si>
    <t>May 10, 2024</t>
  </si>
  <si>
    <t>May 17, 2024</t>
  </si>
  <si>
    <t>May 24, 2024</t>
  </si>
  <si>
    <t>May 31, 2024</t>
  </si>
  <si>
    <t>Jun 07, 2024</t>
  </si>
  <si>
    <t>Jun 14, 2024</t>
  </si>
  <si>
    <t>Jun 21, 2024</t>
  </si>
  <si>
    <t>Jun 28, 2024</t>
  </si>
  <si>
    <t>Jul 05, 2024</t>
  </si>
  <si>
    <t>Jul 12, 2024</t>
  </si>
  <si>
    <t>Jul 19, 2024</t>
  </si>
  <si>
    <t>Jul 26, 2024</t>
  </si>
  <si>
    <t>Aug 02, 2024</t>
  </si>
  <si>
    <t>Aug 09, 2024</t>
  </si>
  <si>
    <t>Aug 16, 2024</t>
  </si>
  <si>
    <t>Aug 23, 2024</t>
  </si>
  <si>
    <t>Aug 30, 2024</t>
  </si>
  <si>
    <t>Sep 06, 2024</t>
  </si>
  <si>
    <t>Sep 13, 2024</t>
  </si>
  <si>
    <t>Sep 20, 2024</t>
  </si>
  <si>
    <t>Sep 27, 2024</t>
  </si>
  <si>
    <t>Oct 04, 2024</t>
  </si>
  <si>
    <t>Oct 11, 2024</t>
  </si>
  <si>
    <t>Oct 18, 2024</t>
  </si>
  <si>
    <t>Oct 25, 2024</t>
  </si>
  <si>
    <t>Nov 01, 2024</t>
  </si>
  <si>
    <t>Nov 08, 2024</t>
  </si>
  <si>
    <t>Nov 15, 2024</t>
  </si>
  <si>
    <t>Nov 22, 2024</t>
  </si>
  <si>
    <t>Nov 29, 2024</t>
  </si>
  <si>
    <t>Dec 06, 2024</t>
  </si>
  <si>
    <t>Dec 13, 2024</t>
  </si>
  <si>
    <t>Dec 20, 2024</t>
  </si>
  <si>
    <t>Dec 27, 2024</t>
  </si>
  <si>
    <t>Jan 03, 2025</t>
  </si>
  <si>
    <t>Jan 10, 2025</t>
  </si>
  <si>
    <t>Jan 17, 2025</t>
  </si>
  <si>
    <t>Jan 24, 2025</t>
  </si>
  <si>
    <t>Jan 31, 2025</t>
  </si>
  <si>
    <t>Feb 07, 2025</t>
  </si>
  <si>
    <t>Feb 14, 2025</t>
  </si>
  <si>
    <t>Feb 21, 2025</t>
  </si>
  <si>
    <t>Feb 28, 2025</t>
  </si>
  <si>
    <t>Mar 07, 2025</t>
  </si>
  <si>
    <t>Mar 14, 2025</t>
  </si>
  <si>
    <t>Mar 21, 2025</t>
  </si>
  <si>
    <t>Mar 28, 2025</t>
  </si>
  <si>
    <t>Apr 04, 2025</t>
  </si>
  <si>
    <t>Apr 11, 2025</t>
  </si>
  <si>
    <t>Apr 18, 2025</t>
  </si>
  <si>
    <t>Apr 25, 2025</t>
  </si>
  <si>
    <t>May 02, 2025</t>
  </si>
  <si>
    <t>May 09, 2025</t>
  </si>
  <si>
    <t>May 16, 2025</t>
  </si>
  <si>
    <t>May 23, 2025</t>
  </si>
  <si>
    <t>May 30, 2025</t>
  </si>
  <si>
    <t>Jun 06, 2025</t>
  </si>
  <si>
    <t>Jun 13, 2025</t>
  </si>
  <si>
    <t>Jun 20, 2025</t>
  </si>
  <si>
    <t>Jun 27, 2025</t>
  </si>
  <si>
    <t>Jul 04, 2025</t>
  </si>
  <si>
    <t>Jul 11, 2025</t>
  </si>
  <si>
    <t>Jul 18, 2025</t>
  </si>
  <si>
    <t>Jul 25, 2025</t>
  </si>
  <si>
    <t>Aug 01, 2025</t>
  </si>
  <si>
    <t>Aug 08, 2025</t>
  </si>
  <si>
    <t>Aug 15, 2025</t>
  </si>
  <si>
    <t>Aug 22, 2025</t>
  </si>
  <si>
    <t>Aug 29, 2025</t>
  </si>
  <si>
    <t>Sep 05, 2025</t>
  </si>
  <si>
    <t>Sep 12, 2025</t>
  </si>
  <si>
    <t>Sep 19, 2025</t>
  </si>
  <si>
    <t>Sep 26, 2025</t>
  </si>
  <si>
    <t>Oct 03, 2025</t>
  </si>
  <si>
    <t>Oct 10, 2025</t>
  </si>
  <si>
    <t>Oct 17, 2025</t>
  </si>
  <si>
    <t>Oct 24, 2025</t>
  </si>
  <si>
    <t>Oct 31, 2025</t>
  </si>
  <si>
    <t>Nov 07, 2025</t>
  </si>
  <si>
    <t>Nov 14, 2025</t>
  </si>
  <si>
    <t>Nov 21, 2025</t>
  </si>
  <si>
    <t>Nov 28, 2025</t>
  </si>
  <si>
    <t>Dec 05, 2025</t>
  </si>
  <si>
    <t>Dec 12, 2025</t>
  </si>
  <si>
    <t>Dec 19, 2025</t>
  </si>
  <si>
    <t>Dec 26, 2025</t>
  </si>
  <si>
    <t>Jan 02, 2026</t>
  </si>
  <si>
    <t>Jan 09, 2026</t>
  </si>
  <si>
    <t>Jan 16, 2026</t>
  </si>
  <si>
    <t>Jan 23, 2026</t>
  </si>
  <si>
    <t>Jan 30, 2026</t>
  </si>
  <si>
    <t>Feb 06, 2026</t>
  </si>
  <si>
    <t>Feb 13, 2026</t>
  </si>
  <si>
    <t>Feb 20, 2026</t>
  </si>
  <si>
    <t>Feb 27, 2026</t>
  </si>
  <si>
    <t>Mar 06, 2026</t>
  </si>
  <si>
    <t>Mar 13, 2026</t>
  </si>
  <si>
    <t>Mar 20, 2026</t>
  </si>
  <si>
    <t>Mar 27, 2026</t>
  </si>
  <si>
    <t>Apr 03, 2026</t>
  </si>
  <si>
    <t>Apr 10, 2026</t>
  </si>
  <si>
    <t>Apr 17, 2026</t>
  </si>
  <si>
    <t>Apr 24, 2026</t>
  </si>
  <si>
    <t>May 01, 2026</t>
  </si>
  <si>
    <t>May 08, 2026</t>
  </si>
  <si>
    <t>May 15, 2026</t>
  </si>
  <si>
    <t>May 22, 2026</t>
  </si>
  <si>
    <t>May 29, 2026</t>
  </si>
  <si>
    <t>Jun 05, 2026</t>
  </si>
  <si>
    <t>Jun 12, 2026</t>
  </si>
  <si>
    <t>Jun 19, 2026</t>
  </si>
  <si>
    <t>Jun 26, 2026</t>
  </si>
  <si>
    <t>Jul 03, 2026</t>
  </si>
  <si>
    <t>Jul 10, 2026</t>
  </si>
  <si>
    <t>Jul 17, 2026</t>
  </si>
  <si>
    <t>Jul 24, 2026</t>
  </si>
  <si>
    <t>Jul 31, 2026</t>
  </si>
  <si>
    <t>Aug 07, 2026</t>
  </si>
  <si>
    <t>Aug 14, 2026</t>
  </si>
  <si>
    <t>Aug 21, 2026</t>
  </si>
  <si>
    <t>Aug 28, 2026</t>
  </si>
  <si>
    <t>Sep 04, 2026</t>
  </si>
  <si>
    <t>Sep 11, 2026</t>
  </si>
  <si>
    <t>Sep 18, 2026</t>
  </si>
  <si>
    <t>Sep 25, 2026</t>
  </si>
  <si>
    <t>Oct 02, 2026</t>
  </si>
  <si>
    <t>ANALISIS STASIONERITAS &amp; DIFFERENCING DATA SAHAM TLKM</t>
  </si>
  <si>
    <t>Transformasi Differencing Pertama (d=1) untuk Menghilangkan Tren Non-Stasioner</t>
  </si>
  <si>
    <t>Close (Y_t)</t>
  </si>
  <si>
    <t>Close Periode Lalu (Y_t-1)</t>
  </si>
  <si>
    <t>Differencing Pertama (Y_t - Y_t-1)</t>
  </si>
  <si>
    <t>-</t>
  </si>
  <si>
    <t>RINGKASAN MODEL ARIMA &amp; EVALUASI PERAMALAN</t>
  </si>
  <si>
    <t>Proyeksi dan Pemilihan Kandidat Model Terbaik Berdasarkan AIC, BIC, dan MAPE</t>
  </si>
  <si>
    <t>Kandidat Model ARIMA(p,d,q)</t>
  </si>
  <si>
    <t>AIC</t>
  </si>
  <si>
    <t>BIC</t>
  </si>
  <si>
    <t>MAPE (%)</t>
  </si>
  <si>
    <t>Keterangan / Status</t>
  </si>
  <si>
    <t>ARIMA(1,1,1)</t>
  </si>
  <si>
    <t>Kandidat Baik</t>
  </si>
  <si>
    <t>ARIMA(2,1,2)</t>
  </si>
  <si>
    <t>Model Terbaik (AIC/BIC Terendah)</t>
  </si>
  <si>
    <t>ARIMA(0,1,1)</t>
  </si>
  <si>
    <t>Simple Exponential Smoothing Equivalent</t>
  </si>
  <si>
    <t>ARIMA(1,1,0)</t>
  </si>
  <si>
    <t>Autoregressive First Order</t>
  </si>
  <si>
    <t>ARIMA(2,1,0)</t>
  </si>
  <si>
    <t>AR Order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</si>
</sst>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4" fontId="4" fillId="0" borderId="2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4" fontId="4" fillId="3" borderId="2" xfId="0" applyNumberFormat="1" applyFont="1" applyFill="1" applyBorder="1" applyAlignment="1">
      <alignment horizontal="right"/>
    </xf>
    <xf numFmtId="3" fontId="4" fillId="3" borderId="2" xfId="0" applyNumberFormat="1" applyFont="1" applyFill="1" applyBorder="1" applyAlignment="1">
      <alignment horizontal="right"/>
    </xf>
    <xf numFmtId="4" fontId="4" fillId="0" borderId="2" xfId="0" applyNumberFormat="1" applyFont="1" applyBorder="1"/>
    <xf numFmtId="4" fontId="4" fillId="3" borderId="2" xfId="0" applyNumberFormat="1" applyFont="1" applyFill="1" applyBorder="1"/>
    <xf numFmtId="2" fontId="4" fillId="0" borderId="2" xfId="0" applyNumberFormat="1" applyFont="1" applyBorder="1"/>
    <xf numFmtId="0" fontId="4" fillId="0" borderId="2" xfId="0" applyFont="1" applyBorder="1" applyAlignment="1">
      <alignment horizontal="left"/>
    </xf>
    <xf numFmtId="2" fontId="4" fillId="3" borderId="2" xfId="0" applyNumberFormat="1" applyFont="1" applyFill="1" applyBorder="1"/>
    <xf numFmtId="0" fontId="4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6"/>
  <sheetViews>
    <sheetView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91" customWidth="1"/>
    <col min="2" max="2" width="15" customWidth="1"/>
    <col min="3" max="8" width="12" customWidth="1"/>
  </cols>
  <sheetData>
    <row r="1" spans="1:8" ht="21" x14ac:dyDescent="0.55000000000000004">
      <c r="A1" s="1" t="s">
        <v>0</v>
      </c>
    </row>
    <row r="2" spans="1:8" ht="16" x14ac:dyDescent="0.45">
      <c r="A2" s="2" t="s">
        <v>1</v>
      </c>
    </row>
    <row r="4" spans="1:8" ht="16.5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16" x14ac:dyDescent="0.45">
      <c r="A5" s="4">
        <v>1</v>
      </c>
      <c r="B5" s="4" t="s">
        <v>10</v>
      </c>
      <c r="C5" s="5">
        <v>3817.17</v>
      </c>
      <c r="D5" s="5">
        <v>3844.75</v>
      </c>
      <c r="E5" s="5">
        <v>3745.8</v>
      </c>
      <c r="F5" s="5">
        <v>3810.96</v>
      </c>
      <c r="G5" s="5">
        <v>2858.22</v>
      </c>
      <c r="H5" s="6">
        <v>403046582</v>
      </c>
    </row>
    <row r="6" spans="1:8" ht="16" x14ac:dyDescent="0.45">
      <c r="A6" s="7">
        <v>2</v>
      </c>
      <c r="B6" s="7" t="s">
        <v>11</v>
      </c>
      <c r="C6" s="8">
        <v>3811.62</v>
      </c>
      <c r="D6" s="8">
        <v>3814.73</v>
      </c>
      <c r="E6" s="8">
        <v>3769.15</v>
      </c>
      <c r="F6" s="8">
        <v>3814.73</v>
      </c>
      <c r="G6" s="8">
        <v>2861.05</v>
      </c>
      <c r="H6" s="9">
        <v>254549131</v>
      </c>
    </row>
    <row r="7" spans="1:8" ht="16" x14ac:dyDescent="0.45">
      <c r="A7" s="4">
        <v>3</v>
      </c>
      <c r="B7" s="4" t="s">
        <v>12</v>
      </c>
      <c r="C7" s="5">
        <v>3936.39</v>
      </c>
      <c r="D7" s="5">
        <v>3968.28</v>
      </c>
      <c r="E7" s="5">
        <v>3866.83</v>
      </c>
      <c r="F7" s="5">
        <v>3968.28</v>
      </c>
      <c r="G7" s="5">
        <v>2976.21</v>
      </c>
      <c r="H7" s="6">
        <v>814989791</v>
      </c>
    </row>
    <row r="8" spans="1:8" ht="16" x14ac:dyDescent="0.45">
      <c r="A8" s="7">
        <v>4</v>
      </c>
      <c r="B8" s="7" t="s">
        <v>13</v>
      </c>
      <c r="C8" s="8">
        <v>4027.76</v>
      </c>
      <c r="D8" s="8">
        <v>4100.41</v>
      </c>
      <c r="E8" s="8">
        <v>3974.68</v>
      </c>
      <c r="F8" s="8">
        <v>4093.92</v>
      </c>
      <c r="G8" s="8">
        <v>3070.44</v>
      </c>
      <c r="H8" s="9">
        <v>654146501</v>
      </c>
    </row>
    <row r="9" spans="1:8" ht="16" x14ac:dyDescent="0.45">
      <c r="A9" s="4">
        <v>5</v>
      </c>
      <c r="B9" s="4" t="s">
        <v>14</v>
      </c>
      <c r="C9" s="5">
        <v>4119.67</v>
      </c>
      <c r="D9" s="5">
        <v>4143.25</v>
      </c>
      <c r="E9" s="5">
        <v>4103.16</v>
      </c>
      <c r="F9" s="5">
        <v>4103.16</v>
      </c>
      <c r="G9" s="5">
        <v>3077.37</v>
      </c>
      <c r="H9" s="6">
        <v>694979110</v>
      </c>
    </row>
    <row r="10" spans="1:8" ht="16" x14ac:dyDescent="0.45">
      <c r="A10" s="7">
        <v>6</v>
      </c>
      <c r="B10" s="7" t="s">
        <v>15</v>
      </c>
      <c r="C10" s="8">
        <v>4077.39</v>
      </c>
      <c r="D10" s="8">
        <v>4100.3900000000003</v>
      </c>
      <c r="E10" s="8">
        <v>4031.74</v>
      </c>
      <c r="F10" s="8">
        <v>4098.53</v>
      </c>
      <c r="G10" s="8">
        <v>3073.9</v>
      </c>
      <c r="H10" s="9">
        <v>515618809</v>
      </c>
    </row>
    <row r="11" spans="1:8" ht="16" x14ac:dyDescent="0.45">
      <c r="A11" s="4">
        <v>7</v>
      </c>
      <c r="B11" s="4" t="s">
        <v>16</v>
      </c>
      <c r="C11" s="5">
        <v>4120.22</v>
      </c>
      <c r="D11" s="5">
        <v>4149.41</v>
      </c>
      <c r="E11" s="5">
        <v>4056.66</v>
      </c>
      <c r="F11" s="5">
        <v>4140.07</v>
      </c>
      <c r="G11" s="5">
        <v>3105.05</v>
      </c>
      <c r="H11" s="6">
        <v>890183312</v>
      </c>
    </row>
    <row r="12" spans="1:8" ht="16" x14ac:dyDescent="0.45">
      <c r="A12" s="7">
        <v>8</v>
      </c>
      <c r="B12" s="7" t="s">
        <v>17</v>
      </c>
      <c r="C12" s="8">
        <v>4133.3500000000004</v>
      </c>
      <c r="D12" s="8">
        <v>4148.58</v>
      </c>
      <c r="E12" s="8">
        <v>4117.84</v>
      </c>
      <c r="F12" s="8">
        <v>4148.58</v>
      </c>
      <c r="G12" s="8">
        <v>3111.43</v>
      </c>
      <c r="H12" s="9">
        <v>403524531</v>
      </c>
    </row>
    <row r="13" spans="1:8" ht="16" x14ac:dyDescent="0.45">
      <c r="A13" s="4">
        <v>9</v>
      </c>
      <c r="B13" s="4" t="s">
        <v>18</v>
      </c>
      <c r="C13" s="5">
        <v>4022.75</v>
      </c>
      <c r="D13" s="5">
        <v>4084.43</v>
      </c>
      <c r="E13" s="5">
        <v>4013.02</v>
      </c>
      <c r="F13" s="5">
        <v>4053.05</v>
      </c>
      <c r="G13" s="5">
        <v>3039.79</v>
      </c>
      <c r="H13" s="6">
        <v>436777632</v>
      </c>
    </row>
    <row r="14" spans="1:8" ht="16" x14ac:dyDescent="0.45">
      <c r="A14" s="7">
        <v>10</v>
      </c>
      <c r="B14" s="7" t="s">
        <v>19</v>
      </c>
      <c r="C14" s="8">
        <v>4072.1</v>
      </c>
      <c r="D14" s="8">
        <v>4106.9799999999996</v>
      </c>
      <c r="E14" s="8">
        <v>4052.42</v>
      </c>
      <c r="F14" s="8">
        <v>4106.9799999999996</v>
      </c>
      <c r="G14" s="8">
        <v>3080.23</v>
      </c>
      <c r="H14" s="9">
        <v>697264646</v>
      </c>
    </row>
    <row r="15" spans="1:8" ht="16" x14ac:dyDescent="0.45">
      <c r="A15" s="4">
        <v>11</v>
      </c>
      <c r="B15" s="4" t="s">
        <v>20</v>
      </c>
      <c r="C15" s="5">
        <v>4122.43</v>
      </c>
      <c r="D15" s="5">
        <v>4186.87</v>
      </c>
      <c r="E15" s="5">
        <v>4056.98</v>
      </c>
      <c r="F15" s="5">
        <v>4106.6499999999996</v>
      </c>
      <c r="G15" s="5">
        <v>3079.99</v>
      </c>
      <c r="H15" s="6">
        <v>864606719</v>
      </c>
    </row>
    <row r="16" spans="1:8" ht="16" x14ac:dyDescent="0.45">
      <c r="A16" s="7">
        <v>12</v>
      </c>
      <c r="B16" s="7" t="s">
        <v>21</v>
      </c>
      <c r="C16" s="8">
        <v>4104.8500000000004</v>
      </c>
      <c r="D16" s="8">
        <v>4192.58</v>
      </c>
      <c r="E16" s="8">
        <v>4095.22</v>
      </c>
      <c r="F16" s="8">
        <v>4110.08</v>
      </c>
      <c r="G16" s="8">
        <v>3082.56</v>
      </c>
      <c r="H16" s="9">
        <v>860703128</v>
      </c>
    </row>
    <row r="17" spans="1:8" ht="16" x14ac:dyDescent="0.45">
      <c r="A17" s="4">
        <v>13</v>
      </c>
      <c r="B17" s="4" t="s">
        <v>22</v>
      </c>
      <c r="C17" s="5">
        <v>4098.37</v>
      </c>
      <c r="D17" s="5">
        <v>4144.6099999999997</v>
      </c>
      <c r="E17" s="5">
        <v>4076.99</v>
      </c>
      <c r="F17" s="5">
        <v>4088.46</v>
      </c>
      <c r="G17" s="5">
        <v>3066.35</v>
      </c>
      <c r="H17" s="6">
        <v>334702937</v>
      </c>
    </row>
    <row r="18" spans="1:8" ht="16" x14ac:dyDescent="0.45">
      <c r="A18" s="7">
        <v>14</v>
      </c>
      <c r="B18" s="7" t="s">
        <v>23</v>
      </c>
      <c r="C18" s="8">
        <v>4038.51</v>
      </c>
      <c r="D18" s="8">
        <v>4083.43</v>
      </c>
      <c r="E18" s="8">
        <v>4011.43</v>
      </c>
      <c r="F18" s="8">
        <v>4051.64</v>
      </c>
      <c r="G18" s="8">
        <v>3038.73</v>
      </c>
      <c r="H18" s="9">
        <v>883794009</v>
      </c>
    </row>
    <row r="19" spans="1:8" ht="16" x14ac:dyDescent="0.45">
      <c r="A19" s="4">
        <v>15</v>
      </c>
      <c r="B19" s="4" t="s">
        <v>24</v>
      </c>
      <c r="C19" s="5">
        <v>3956.59</v>
      </c>
      <c r="D19" s="5">
        <v>3982.47</v>
      </c>
      <c r="E19" s="5">
        <v>3873.05</v>
      </c>
      <c r="F19" s="5">
        <v>3946.8</v>
      </c>
      <c r="G19" s="5">
        <v>2960.1</v>
      </c>
      <c r="H19" s="6">
        <v>815247898</v>
      </c>
    </row>
    <row r="20" spans="1:8" ht="16" x14ac:dyDescent="0.45">
      <c r="A20" s="7">
        <v>16</v>
      </c>
      <c r="B20" s="7" t="s">
        <v>25</v>
      </c>
      <c r="C20" s="8">
        <v>3905.63</v>
      </c>
      <c r="D20" s="8">
        <v>3940.5</v>
      </c>
      <c r="E20" s="8">
        <v>3870.85</v>
      </c>
      <c r="F20" s="8">
        <v>3870.85</v>
      </c>
      <c r="G20" s="8">
        <v>2903.14</v>
      </c>
      <c r="H20" s="9">
        <v>487511823</v>
      </c>
    </row>
    <row r="21" spans="1:8" ht="16" x14ac:dyDescent="0.45">
      <c r="A21" s="4">
        <v>17</v>
      </c>
      <c r="B21" s="4" t="s">
        <v>26</v>
      </c>
      <c r="C21" s="5">
        <v>3928.66</v>
      </c>
      <c r="D21" s="5">
        <v>3944.56</v>
      </c>
      <c r="E21" s="5">
        <v>3893.3</v>
      </c>
      <c r="F21" s="5">
        <v>3896.99</v>
      </c>
      <c r="G21" s="5">
        <v>2922.74</v>
      </c>
      <c r="H21" s="6">
        <v>635227718</v>
      </c>
    </row>
    <row r="22" spans="1:8" ht="16" x14ac:dyDescent="0.45">
      <c r="A22" s="7">
        <v>18</v>
      </c>
      <c r="B22" s="7" t="s">
        <v>27</v>
      </c>
      <c r="C22" s="8">
        <v>3819.09</v>
      </c>
      <c r="D22" s="8">
        <v>3838.59</v>
      </c>
      <c r="E22" s="8">
        <v>3809.57</v>
      </c>
      <c r="F22" s="8">
        <v>3838.59</v>
      </c>
      <c r="G22" s="8">
        <v>2878.94</v>
      </c>
      <c r="H22" s="9">
        <v>546105240</v>
      </c>
    </row>
    <row r="23" spans="1:8" ht="16" x14ac:dyDescent="0.45">
      <c r="A23" s="4">
        <v>19</v>
      </c>
      <c r="B23" s="4" t="s">
        <v>28</v>
      </c>
      <c r="C23" s="5">
        <v>3862.37</v>
      </c>
      <c r="D23" s="5">
        <v>3881.32</v>
      </c>
      <c r="E23" s="5">
        <v>3815.19</v>
      </c>
      <c r="F23" s="5">
        <v>3815.19</v>
      </c>
      <c r="G23" s="5">
        <v>2861.39</v>
      </c>
      <c r="H23" s="6">
        <v>601995268</v>
      </c>
    </row>
    <row r="24" spans="1:8" ht="16" x14ac:dyDescent="0.45">
      <c r="A24" s="7">
        <v>20</v>
      </c>
      <c r="B24" s="7" t="s">
        <v>29</v>
      </c>
      <c r="C24" s="8">
        <v>3865.46</v>
      </c>
      <c r="D24" s="8">
        <v>3872.19</v>
      </c>
      <c r="E24" s="8">
        <v>3815.64</v>
      </c>
      <c r="F24" s="8">
        <v>3817.15</v>
      </c>
      <c r="G24" s="8">
        <v>2862.86</v>
      </c>
      <c r="H24" s="9">
        <v>683567057</v>
      </c>
    </row>
    <row r="25" spans="1:8" ht="16" x14ac:dyDescent="0.45">
      <c r="A25" s="4">
        <v>21</v>
      </c>
      <c r="B25" s="4" t="s">
        <v>30</v>
      </c>
      <c r="C25" s="5">
        <v>3793.85</v>
      </c>
      <c r="D25" s="5">
        <v>3848.81</v>
      </c>
      <c r="E25" s="5">
        <v>3789.16</v>
      </c>
      <c r="F25" s="5">
        <v>3789.16</v>
      </c>
      <c r="G25" s="5">
        <v>2841.87</v>
      </c>
      <c r="H25" s="6">
        <v>720183156</v>
      </c>
    </row>
    <row r="26" spans="1:8" ht="16" x14ac:dyDescent="0.45">
      <c r="A26" s="7">
        <v>22</v>
      </c>
      <c r="B26" s="7" t="s">
        <v>31</v>
      </c>
      <c r="C26" s="8">
        <v>3754.03</v>
      </c>
      <c r="D26" s="8">
        <v>3805.68</v>
      </c>
      <c r="E26" s="8">
        <v>3730.78</v>
      </c>
      <c r="F26" s="8">
        <v>3800.47</v>
      </c>
      <c r="G26" s="8">
        <v>2850.35</v>
      </c>
      <c r="H26" s="9">
        <v>360422782</v>
      </c>
    </row>
    <row r="27" spans="1:8" ht="16" x14ac:dyDescent="0.45">
      <c r="A27" s="4">
        <v>23</v>
      </c>
      <c r="B27" s="4" t="s">
        <v>32</v>
      </c>
      <c r="C27" s="5">
        <v>3935.66</v>
      </c>
      <c r="D27" s="5">
        <v>3995.07</v>
      </c>
      <c r="E27" s="5">
        <v>3933.39</v>
      </c>
      <c r="F27" s="5">
        <v>3933.39</v>
      </c>
      <c r="G27" s="5">
        <v>2950.04</v>
      </c>
      <c r="H27" s="6">
        <v>752328530</v>
      </c>
    </row>
    <row r="28" spans="1:8" ht="16" x14ac:dyDescent="0.45">
      <c r="A28" s="7">
        <v>24</v>
      </c>
      <c r="B28" s="7" t="s">
        <v>33</v>
      </c>
      <c r="C28" s="8">
        <v>3836.07</v>
      </c>
      <c r="D28" s="8">
        <v>3856.28</v>
      </c>
      <c r="E28" s="8">
        <v>3826.41</v>
      </c>
      <c r="F28" s="8">
        <v>3856.28</v>
      </c>
      <c r="G28" s="8">
        <v>2892.21</v>
      </c>
      <c r="H28" s="9">
        <v>433368683</v>
      </c>
    </row>
    <row r="29" spans="1:8" ht="16" x14ac:dyDescent="0.45">
      <c r="A29" s="4">
        <v>25</v>
      </c>
      <c r="B29" s="4" t="s">
        <v>34</v>
      </c>
      <c r="C29" s="5">
        <v>3920.9</v>
      </c>
      <c r="D29" s="5">
        <v>3957.76</v>
      </c>
      <c r="E29" s="5">
        <v>3842.77</v>
      </c>
      <c r="F29" s="5">
        <v>3957.76</v>
      </c>
      <c r="G29" s="5">
        <v>2968.32</v>
      </c>
      <c r="H29" s="6">
        <v>353665649</v>
      </c>
    </row>
    <row r="30" spans="1:8" ht="16" x14ac:dyDescent="0.45">
      <c r="A30" s="7">
        <v>26</v>
      </c>
      <c r="B30" s="7" t="s">
        <v>35</v>
      </c>
      <c r="C30" s="8">
        <v>3893.09</v>
      </c>
      <c r="D30" s="8">
        <v>3916.52</v>
      </c>
      <c r="E30" s="8">
        <v>3825.34</v>
      </c>
      <c r="F30" s="8">
        <v>3904.11</v>
      </c>
      <c r="G30" s="8">
        <v>2928.08</v>
      </c>
      <c r="H30" s="9">
        <v>900916710</v>
      </c>
    </row>
    <row r="31" spans="1:8" ht="16" x14ac:dyDescent="0.45">
      <c r="A31" s="4">
        <v>27</v>
      </c>
      <c r="B31" s="4" t="s">
        <v>36</v>
      </c>
      <c r="C31" s="5">
        <v>3955</v>
      </c>
      <c r="D31" s="5">
        <v>4008.82</v>
      </c>
      <c r="E31" s="5">
        <v>3930.1</v>
      </c>
      <c r="F31" s="5">
        <v>3950.59</v>
      </c>
      <c r="G31" s="5">
        <v>2962.94</v>
      </c>
      <c r="H31" s="6">
        <v>806741849</v>
      </c>
    </row>
    <row r="32" spans="1:8" ht="16" x14ac:dyDescent="0.45">
      <c r="A32" s="7">
        <v>28</v>
      </c>
      <c r="B32" s="7" t="s">
        <v>37</v>
      </c>
      <c r="C32" s="8">
        <v>3895.73</v>
      </c>
      <c r="D32" s="8">
        <v>3909.31</v>
      </c>
      <c r="E32" s="8">
        <v>3830.17</v>
      </c>
      <c r="F32" s="8">
        <v>3875.43</v>
      </c>
      <c r="G32" s="8">
        <v>2906.57</v>
      </c>
      <c r="H32" s="9">
        <v>554194630</v>
      </c>
    </row>
    <row r="33" spans="1:8" ht="16" x14ac:dyDescent="0.45">
      <c r="A33" s="4">
        <v>29</v>
      </c>
      <c r="B33" s="4" t="s">
        <v>38</v>
      </c>
      <c r="C33" s="5">
        <v>3915.41</v>
      </c>
      <c r="D33" s="5">
        <v>3964.74</v>
      </c>
      <c r="E33" s="5">
        <v>3887.04</v>
      </c>
      <c r="F33" s="5">
        <v>3887.04</v>
      </c>
      <c r="G33" s="5">
        <v>2915.28</v>
      </c>
      <c r="H33" s="6">
        <v>251183894</v>
      </c>
    </row>
    <row r="34" spans="1:8" ht="16" x14ac:dyDescent="0.45">
      <c r="A34" s="7">
        <v>30</v>
      </c>
      <c r="B34" s="7" t="s">
        <v>39</v>
      </c>
      <c r="C34" s="8">
        <v>3997.77</v>
      </c>
      <c r="D34" s="8">
        <v>4074.24</v>
      </c>
      <c r="E34" s="8">
        <v>3946.26</v>
      </c>
      <c r="F34" s="8">
        <v>3978.66</v>
      </c>
      <c r="G34" s="8">
        <v>2984</v>
      </c>
      <c r="H34" s="9">
        <v>843610695</v>
      </c>
    </row>
    <row r="35" spans="1:8" ht="16" x14ac:dyDescent="0.45">
      <c r="A35" s="4">
        <v>31</v>
      </c>
      <c r="B35" s="4" t="s">
        <v>40</v>
      </c>
      <c r="C35" s="5">
        <v>4016.38</v>
      </c>
      <c r="D35" s="5">
        <v>4042.56</v>
      </c>
      <c r="E35" s="5">
        <v>3982.32</v>
      </c>
      <c r="F35" s="5">
        <v>3982.32</v>
      </c>
      <c r="G35" s="5">
        <v>2986.74</v>
      </c>
      <c r="H35" s="6">
        <v>908254569</v>
      </c>
    </row>
    <row r="36" spans="1:8" ht="16" x14ac:dyDescent="0.45">
      <c r="A36" s="7">
        <v>32</v>
      </c>
      <c r="B36" s="7" t="s">
        <v>41</v>
      </c>
      <c r="C36" s="8">
        <v>4002.17</v>
      </c>
      <c r="D36" s="8">
        <v>4026.14</v>
      </c>
      <c r="E36" s="8">
        <v>3952.23</v>
      </c>
      <c r="F36" s="8">
        <v>3997.32</v>
      </c>
      <c r="G36" s="8">
        <v>2997.99</v>
      </c>
      <c r="H36" s="9">
        <v>399590980</v>
      </c>
    </row>
    <row r="37" spans="1:8" ht="16" x14ac:dyDescent="0.45">
      <c r="A37" s="4">
        <v>33</v>
      </c>
      <c r="B37" s="4" t="s">
        <v>42</v>
      </c>
      <c r="C37" s="5">
        <v>3964.74</v>
      </c>
      <c r="D37" s="5">
        <v>4020.03</v>
      </c>
      <c r="E37" s="5">
        <v>3961.49</v>
      </c>
      <c r="F37" s="5">
        <v>3980.18</v>
      </c>
      <c r="G37" s="5">
        <v>2985.13</v>
      </c>
      <c r="H37" s="6">
        <v>822896425</v>
      </c>
    </row>
    <row r="38" spans="1:8" ht="16" x14ac:dyDescent="0.45">
      <c r="A38" s="7">
        <v>34</v>
      </c>
      <c r="B38" s="7" t="s">
        <v>43</v>
      </c>
      <c r="C38" s="8">
        <v>4072.35</v>
      </c>
      <c r="D38" s="8">
        <v>4097.6000000000004</v>
      </c>
      <c r="E38" s="8">
        <v>4039.44</v>
      </c>
      <c r="F38" s="8">
        <v>4039.44</v>
      </c>
      <c r="G38" s="8">
        <v>3029.58</v>
      </c>
      <c r="H38" s="9">
        <v>690835766</v>
      </c>
    </row>
    <row r="39" spans="1:8" ht="16" x14ac:dyDescent="0.45">
      <c r="A39" s="4">
        <v>35</v>
      </c>
      <c r="B39" s="4" t="s">
        <v>44</v>
      </c>
      <c r="C39" s="5">
        <v>3918.6</v>
      </c>
      <c r="D39" s="5">
        <v>3958.28</v>
      </c>
      <c r="E39" s="5">
        <v>3831.79</v>
      </c>
      <c r="F39" s="5">
        <v>3865.76</v>
      </c>
      <c r="G39" s="5">
        <v>2899.32</v>
      </c>
      <c r="H39" s="6">
        <v>373120677</v>
      </c>
    </row>
    <row r="40" spans="1:8" ht="16" x14ac:dyDescent="0.45">
      <c r="A40" s="7">
        <v>36</v>
      </c>
      <c r="B40" s="7" t="s">
        <v>45</v>
      </c>
      <c r="C40" s="8">
        <v>3979.85</v>
      </c>
      <c r="D40" s="8">
        <v>3994.16</v>
      </c>
      <c r="E40" s="8">
        <v>3912.37</v>
      </c>
      <c r="F40" s="8">
        <v>3994.16</v>
      </c>
      <c r="G40" s="8">
        <v>2995.62</v>
      </c>
      <c r="H40" s="9">
        <v>941524717</v>
      </c>
    </row>
    <row r="41" spans="1:8" ht="16" x14ac:dyDescent="0.45">
      <c r="A41" s="4">
        <v>37</v>
      </c>
      <c r="B41" s="4" t="s">
        <v>46</v>
      </c>
      <c r="C41" s="5">
        <v>4223.59</v>
      </c>
      <c r="D41" s="5">
        <v>4306.93</v>
      </c>
      <c r="E41" s="5">
        <v>4164.6000000000004</v>
      </c>
      <c r="F41" s="5">
        <v>4280.04</v>
      </c>
      <c r="G41" s="5">
        <v>3210.03</v>
      </c>
      <c r="H41" s="6">
        <v>878045672</v>
      </c>
    </row>
    <row r="42" spans="1:8" ht="16" x14ac:dyDescent="0.45">
      <c r="A42" s="7">
        <v>38</v>
      </c>
      <c r="B42" s="7" t="s">
        <v>47</v>
      </c>
      <c r="C42" s="8">
        <v>4335.7299999999996</v>
      </c>
      <c r="D42" s="8">
        <v>4362.01</v>
      </c>
      <c r="E42" s="8">
        <v>4270.5200000000004</v>
      </c>
      <c r="F42" s="8">
        <v>4340.1400000000003</v>
      </c>
      <c r="G42" s="8">
        <v>3255.11</v>
      </c>
      <c r="H42" s="9">
        <v>442218212</v>
      </c>
    </row>
    <row r="43" spans="1:8" ht="16" x14ac:dyDescent="0.45">
      <c r="A43" s="4">
        <v>39</v>
      </c>
      <c r="B43" s="4" t="s">
        <v>48</v>
      </c>
      <c r="C43" s="5">
        <v>4269.1000000000004</v>
      </c>
      <c r="D43" s="5">
        <v>4294.71</v>
      </c>
      <c r="E43" s="5">
        <v>4227.1099999999997</v>
      </c>
      <c r="F43" s="5">
        <v>4227.1099999999997</v>
      </c>
      <c r="G43" s="5">
        <v>3170.33</v>
      </c>
      <c r="H43" s="6">
        <v>744493399</v>
      </c>
    </row>
    <row r="44" spans="1:8" ht="16" x14ac:dyDescent="0.45">
      <c r="A44" s="7">
        <v>40</v>
      </c>
      <c r="B44" s="7" t="s">
        <v>49</v>
      </c>
      <c r="C44" s="8">
        <v>4138.7700000000004</v>
      </c>
      <c r="D44" s="8">
        <v>4181.8999999999996</v>
      </c>
      <c r="E44" s="8">
        <v>4120.45</v>
      </c>
      <c r="F44" s="8">
        <v>4181.8999999999996</v>
      </c>
      <c r="G44" s="8">
        <v>3136.42</v>
      </c>
      <c r="H44" s="9">
        <v>736866090</v>
      </c>
    </row>
    <row r="45" spans="1:8" ht="16" x14ac:dyDescent="0.45">
      <c r="A45" s="4">
        <v>41</v>
      </c>
      <c r="B45" s="4" t="s">
        <v>50</v>
      </c>
      <c r="C45" s="5">
        <v>4109.6899999999996</v>
      </c>
      <c r="D45" s="5">
        <v>4135.93</v>
      </c>
      <c r="E45" s="5">
        <v>4064.7</v>
      </c>
      <c r="F45" s="5">
        <v>4082.05</v>
      </c>
      <c r="G45" s="5">
        <v>3061.54</v>
      </c>
      <c r="H45" s="6">
        <v>555085183</v>
      </c>
    </row>
    <row r="46" spans="1:8" ht="16" x14ac:dyDescent="0.45">
      <c r="A46" s="7">
        <v>42</v>
      </c>
      <c r="B46" s="7" t="s">
        <v>51</v>
      </c>
      <c r="C46" s="8">
        <v>3996.85</v>
      </c>
      <c r="D46" s="8">
        <v>4049.75</v>
      </c>
      <c r="E46" s="8">
        <v>3983.83</v>
      </c>
      <c r="F46" s="8">
        <v>3983.83</v>
      </c>
      <c r="G46" s="8">
        <v>2987.87</v>
      </c>
      <c r="H46" s="9">
        <v>268876516</v>
      </c>
    </row>
    <row r="47" spans="1:8" ht="16" x14ac:dyDescent="0.45">
      <c r="A47" s="4">
        <v>43</v>
      </c>
      <c r="B47" s="4" t="s">
        <v>52</v>
      </c>
      <c r="C47" s="5">
        <v>3954.61</v>
      </c>
      <c r="D47" s="5">
        <v>3965.59</v>
      </c>
      <c r="E47" s="5">
        <v>3945.67</v>
      </c>
      <c r="F47" s="5">
        <v>3945.67</v>
      </c>
      <c r="G47" s="5">
        <v>2959.26</v>
      </c>
      <c r="H47" s="6">
        <v>782860795</v>
      </c>
    </row>
    <row r="48" spans="1:8" ht="16" x14ac:dyDescent="0.45">
      <c r="A48" s="7">
        <v>44</v>
      </c>
      <c r="B48" s="7" t="s">
        <v>53</v>
      </c>
      <c r="C48" s="8">
        <v>3887.14</v>
      </c>
      <c r="D48" s="8">
        <v>3946.18</v>
      </c>
      <c r="E48" s="8">
        <v>3865.54</v>
      </c>
      <c r="F48" s="8">
        <v>3946.18</v>
      </c>
      <c r="G48" s="8">
        <v>2959.64</v>
      </c>
      <c r="H48" s="9">
        <v>777963242</v>
      </c>
    </row>
    <row r="49" spans="1:8" ht="16" x14ac:dyDescent="0.45">
      <c r="A49" s="4">
        <v>45</v>
      </c>
      <c r="B49" s="4" t="s">
        <v>54</v>
      </c>
      <c r="C49" s="5">
        <v>3810.39</v>
      </c>
      <c r="D49" s="5">
        <v>3853.89</v>
      </c>
      <c r="E49" s="5">
        <v>3733.69</v>
      </c>
      <c r="F49" s="5">
        <v>3745.09</v>
      </c>
      <c r="G49" s="5">
        <v>2808.81</v>
      </c>
      <c r="H49" s="6">
        <v>773547956</v>
      </c>
    </row>
    <row r="50" spans="1:8" ht="16" x14ac:dyDescent="0.45">
      <c r="A50" s="7">
        <v>46</v>
      </c>
      <c r="B50" s="7" t="s">
        <v>55</v>
      </c>
      <c r="C50" s="8">
        <v>3662.3</v>
      </c>
      <c r="D50" s="8">
        <v>3686.75</v>
      </c>
      <c r="E50" s="8">
        <v>3616.22</v>
      </c>
      <c r="F50" s="8">
        <v>3671.12</v>
      </c>
      <c r="G50" s="8">
        <v>2753.34</v>
      </c>
      <c r="H50" s="9">
        <v>938691046</v>
      </c>
    </row>
    <row r="51" spans="1:8" ht="16" x14ac:dyDescent="0.45">
      <c r="A51" s="4">
        <v>47</v>
      </c>
      <c r="B51" s="4" t="s">
        <v>56</v>
      </c>
      <c r="C51" s="5">
        <v>3723.11</v>
      </c>
      <c r="D51" s="5">
        <v>3758.23</v>
      </c>
      <c r="E51" s="5">
        <v>3682.73</v>
      </c>
      <c r="F51" s="5">
        <v>3758.23</v>
      </c>
      <c r="G51" s="5">
        <v>2818.67</v>
      </c>
      <c r="H51" s="6">
        <v>745116050</v>
      </c>
    </row>
    <row r="52" spans="1:8" ht="16" x14ac:dyDescent="0.45">
      <c r="A52" s="7">
        <v>48</v>
      </c>
      <c r="B52" s="7" t="s">
        <v>57</v>
      </c>
      <c r="C52" s="8">
        <v>3729.13</v>
      </c>
      <c r="D52" s="8">
        <v>3796.48</v>
      </c>
      <c r="E52" s="8">
        <v>3660.51</v>
      </c>
      <c r="F52" s="8">
        <v>3726.87</v>
      </c>
      <c r="G52" s="8">
        <v>2795.16</v>
      </c>
      <c r="H52" s="9">
        <v>761718350</v>
      </c>
    </row>
    <row r="53" spans="1:8" ht="16" x14ac:dyDescent="0.45">
      <c r="A53" s="4">
        <v>49</v>
      </c>
      <c r="B53" s="4" t="s">
        <v>58</v>
      </c>
      <c r="C53" s="5">
        <v>3539.31</v>
      </c>
      <c r="D53" s="5">
        <v>3600.96</v>
      </c>
      <c r="E53" s="5">
        <v>3503.2</v>
      </c>
      <c r="F53" s="5">
        <v>3529.7</v>
      </c>
      <c r="G53" s="5">
        <v>2647.27</v>
      </c>
      <c r="H53" s="6">
        <v>845666985</v>
      </c>
    </row>
    <row r="54" spans="1:8" ht="16" x14ac:dyDescent="0.45">
      <c r="A54" s="7">
        <v>50</v>
      </c>
      <c r="B54" s="7" t="s">
        <v>59</v>
      </c>
      <c r="C54" s="8">
        <v>3481.2</v>
      </c>
      <c r="D54" s="8">
        <v>3540.57</v>
      </c>
      <c r="E54" s="8">
        <v>3386.62</v>
      </c>
      <c r="F54" s="8">
        <v>3514.42</v>
      </c>
      <c r="G54" s="8">
        <v>2635.82</v>
      </c>
      <c r="H54" s="9">
        <v>780715257</v>
      </c>
    </row>
    <row r="55" spans="1:8" ht="16" x14ac:dyDescent="0.45">
      <c r="A55" s="4">
        <v>51</v>
      </c>
      <c r="B55" s="4" t="s">
        <v>60</v>
      </c>
      <c r="C55" s="5">
        <v>3579.07</v>
      </c>
      <c r="D55" s="5">
        <v>3617.16</v>
      </c>
      <c r="E55" s="5">
        <v>3561.49</v>
      </c>
      <c r="F55" s="5">
        <v>3600.41</v>
      </c>
      <c r="G55" s="5">
        <v>2700.3</v>
      </c>
      <c r="H55" s="6">
        <v>657088909</v>
      </c>
    </row>
    <row r="56" spans="1:8" ht="16" x14ac:dyDescent="0.45">
      <c r="A56" s="7">
        <v>52</v>
      </c>
      <c r="B56" s="7" t="s">
        <v>61</v>
      </c>
      <c r="C56" s="8">
        <v>3593.56</v>
      </c>
      <c r="D56" s="8">
        <v>3620.98</v>
      </c>
      <c r="E56" s="8">
        <v>3577.98</v>
      </c>
      <c r="F56" s="8">
        <v>3577.98</v>
      </c>
      <c r="G56" s="8">
        <v>2683.49</v>
      </c>
      <c r="H56" s="9">
        <v>334459119</v>
      </c>
    </row>
    <row r="57" spans="1:8" ht="16" x14ac:dyDescent="0.45">
      <c r="A57" s="4">
        <v>53</v>
      </c>
      <c r="B57" s="4" t="s">
        <v>62</v>
      </c>
      <c r="C57" s="5">
        <v>3536.05</v>
      </c>
      <c r="D57" s="5">
        <v>3582.52</v>
      </c>
      <c r="E57" s="5">
        <v>3513.29</v>
      </c>
      <c r="F57" s="5">
        <v>3531.62</v>
      </c>
      <c r="G57" s="5">
        <v>2648.72</v>
      </c>
      <c r="H57" s="6">
        <v>933624916</v>
      </c>
    </row>
    <row r="58" spans="1:8" ht="16" x14ac:dyDescent="0.45">
      <c r="A58" s="7">
        <v>54</v>
      </c>
      <c r="B58" s="7" t="s">
        <v>63</v>
      </c>
      <c r="C58" s="8">
        <v>3535.75</v>
      </c>
      <c r="D58" s="8">
        <v>3554.49</v>
      </c>
      <c r="E58" s="8">
        <v>3509.99</v>
      </c>
      <c r="F58" s="8">
        <v>3549.36</v>
      </c>
      <c r="G58" s="8">
        <v>2662.02</v>
      </c>
      <c r="H58" s="9">
        <v>338395645</v>
      </c>
    </row>
    <row r="59" spans="1:8" ht="16" x14ac:dyDescent="0.45">
      <c r="A59" s="4">
        <v>55</v>
      </c>
      <c r="B59" s="4" t="s">
        <v>64</v>
      </c>
      <c r="C59" s="5">
        <v>3636.27</v>
      </c>
      <c r="D59" s="5">
        <v>3713.8</v>
      </c>
      <c r="E59" s="5">
        <v>3598.62</v>
      </c>
      <c r="F59" s="5">
        <v>3701.47</v>
      </c>
      <c r="G59" s="5">
        <v>2776.1</v>
      </c>
      <c r="H59" s="6">
        <v>825480951</v>
      </c>
    </row>
    <row r="60" spans="1:8" ht="16" x14ac:dyDescent="0.45">
      <c r="A60" s="7">
        <v>56</v>
      </c>
      <c r="B60" s="7" t="s">
        <v>65</v>
      </c>
      <c r="C60" s="8">
        <v>3688.59</v>
      </c>
      <c r="D60" s="8">
        <v>3734.46</v>
      </c>
      <c r="E60" s="8">
        <v>3683.01</v>
      </c>
      <c r="F60" s="8">
        <v>3727.81</v>
      </c>
      <c r="G60" s="8">
        <v>2795.86</v>
      </c>
      <c r="H60" s="9">
        <v>407980995</v>
      </c>
    </row>
    <row r="61" spans="1:8" ht="16" x14ac:dyDescent="0.45">
      <c r="A61" s="4">
        <v>57</v>
      </c>
      <c r="B61" s="4" t="s">
        <v>66</v>
      </c>
      <c r="C61" s="5">
        <v>3732.75</v>
      </c>
      <c r="D61" s="5">
        <v>3755.18</v>
      </c>
      <c r="E61" s="5">
        <v>3679.45</v>
      </c>
      <c r="F61" s="5">
        <v>3704.15</v>
      </c>
      <c r="G61" s="5">
        <v>2778.12</v>
      </c>
      <c r="H61" s="6">
        <v>712299696</v>
      </c>
    </row>
    <row r="62" spans="1:8" ht="16" x14ac:dyDescent="0.45">
      <c r="A62" s="7">
        <v>58</v>
      </c>
      <c r="B62" s="7" t="s">
        <v>67</v>
      </c>
      <c r="C62" s="8">
        <v>3654.31</v>
      </c>
      <c r="D62" s="8">
        <v>3689.08</v>
      </c>
      <c r="E62" s="8">
        <v>3625.96</v>
      </c>
      <c r="F62" s="8">
        <v>3689.08</v>
      </c>
      <c r="G62" s="8">
        <v>2766.81</v>
      </c>
      <c r="H62" s="9">
        <v>567821928</v>
      </c>
    </row>
    <row r="63" spans="1:8" ht="16" x14ac:dyDescent="0.45">
      <c r="A63" s="4">
        <v>59</v>
      </c>
      <c r="B63" s="4" t="s">
        <v>68</v>
      </c>
      <c r="C63" s="5">
        <v>3781.27</v>
      </c>
      <c r="D63" s="5">
        <v>3814.22</v>
      </c>
      <c r="E63" s="5">
        <v>3672.13</v>
      </c>
      <c r="F63" s="5">
        <v>3744.02</v>
      </c>
      <c r="G63" s="5">
        <v>2808.01</v>
      </c>
      <c r="H63" s="6">
        <v>774270405</v>
      </c>
    </row>
    <row r="64" spans="1:8" ht="16" x14ac:dyDescent="0.45">
      <c r="A64" s="7">
        <v>60</v>
      </c>
      <c r="B64" s="7" t="s">
        <v>69</v>
      </c>
      <c r="C64" s="8">
        <v>3755.7</v>
      </c>
      <c r="D64" s="8">
        <v>3767.45</v>
      </c>
      <c r="E64" s="8">
        <v>3715.66</v>
      </c>
      <c r="F64" s="8">
        <v>3747.96</v>
      </c>
      <c r="G64" s="8">
        <v>2810.97</v>
      </c>
      <c r="H64" s="9">
        <v>425257531</v>
      </c>
    </row>
    <row r="65" spans="1:8" ht="16" x14ac:dyDescent="0.45">
      <c r="A65" s="4">
        <v>61</v>
      </c>
      <c r="B65" s="4" t="s">
        <v>70</v>
      </c>
      <c r="C65" s="5">
        <v>3842.93</v>
      </c>
      <c r="D65" s="5">
        <v>3893.04</v>
      </c>
      <c r="E65" s="5">
        <v>3806.56</v>
      </c>
      <c r="F65" s="5">
        <v>3882.17</v>
      </c>
      <c r="G65" s="5">
        <v>2911.63</v>
      </c>
      <c r="H65" s="6">
        <v>659730737</v>
      </c>
    </row>
    <row r="66" spans="1:8" ht="16" x14ac:dyDescent="0.45">
      <c r="A66" s="7">
        <v>62</v>
      </c>
      <c r="B66" s="7" t="s">
        <v>71</v>
      </c>
      <c r="C66" s="8">
        <v>3914.02</v>
      </c>
      <c r="D66" s="8">
        <v>3927.13</v>
      </c>
      <c r="E66" s="8">
        <v>3895.69</v>
      </c>
      <c r="F66" s="8">
        <v>3927.13</v>
      </c>
      <c r="G66" s="8">
        <v>2945.35</v>
      </c>
      <c r="H66" s="9">
        <v>735571571</v>
      </c>
    </row>
    <row r="67" spans="1:8" ht="16" x14ac:dyDescent="0.45">
      <c r="A67" s="4">
        <v>63</v>
      </c>
      <c r="B67" s="4" t="s">
        <v>72</v>
      </c>
      <c r="C67" s="5">
        <v>4010.83</v>
      </c>
      <c r="D67" s="5">
        <v>4048</v>
      </c>
      <c r="E67" s="5">
        <v>3979.29</v>
      </c>
      <c r="F67" s="5">
        <v>4016.43</v>
      </c>
      <c r="G67" s="5">
        <v>3012.32</v>
      </c>
      <c r="H67" s="6">
        <v>381307778</v>
      </c>
    </row>
    <row r="68" spans="1:8" ht="16" x14ac:dyDescent="0.45">
      <c r="A68" s="7">
        <v>64</v>
      </c>
      <c r="B68" s="7" t="s">
        <v>73</v>
      </c>
      <c r="C68" s="8">
        <v>3948.28</v>
      </c>
      <c r="D68" s="8">
        <v>4010.69</v>
      </c>
      <c r="E68" s="8">
        <v>3936.48</v>
      </c>
      <c r="F68" s="8">
        <v>4007.04</v>
      </c>
      <c r="G68" s="8">
        <v>3005.28</v>
      </c>
      <c r="H68" s="9">
        <v>738775020</v>
      </c>
    </row>
    <row r="69" spans="1:8" ht="16" x14ac:dyDescent="0.45">
      <c r="A69" s="4">
        <v>65</v>
      </c>
      <c r="B69" s="4" t="s">
        <v>74</v>
      </c>
      <c r="C69" s="5">
        <v>4024.23</v>
      </c>
      <c r="D69" s="5">
        <v>4031.61</v>
      </c>
      <c r="E69" s="5">
        <v>3981.76</v>
      </c>
      <c r="F69" s="5">
        <v>4020.85</v>
      </c>
      <c r="G69" s="5">
        <v>3015.64</v>
      </c>
      <c r="H69" s="6">
        <v>832500221</v>
      </c>
    </row>
    <row r="70" spans="1:8" ht="16" x14ac:dyDescent="0.45">
      <c r="A70" s="7">
        <v>66</v>
      </c>
      <c r="B70" s="7" t="s">
        <v>75</v>
      </c>
      <c r="C70" s="8">
        <v>4020.17</v>
      </c>
      <c r="D70" s="8">
        <v>4060.69</v>
      </c>
      <c r="E70" s="8">
        <v>4004.66</v>
      </c>
      <c r="F70" s="8">
        <v>4004.66</v>
      </c>
      <c r="G70" s="8">
        <v>3003.49</v>
      </c>
      <c r="H70" s="9">
        <v>605768624</v>
      </c>
    </row>
    <row r="71" spans="1:8" ht="16" x14ac:dyDescent="0.45">
      <c r="A71" s="4">
        <v>67</v>
      </c>
      <c r="B71" s="4" t="s">
        <v>76</v>
      </c>
      <c r="C71" s="5">
        <v>3876.7</v>
      </c>
      <c r="D71" s="5">
        <v>3892.18</v>
      </c>
      <c r="E71" s="5">
        <v>3834.85</v>
      </c>
      <c r="F71" s="5">
        <v>3852.8</v>
      </c>
      <c r="G71" s="5">
        <v>2889.6</v>
      </c>
      <c r="H71" s="6">
        <v>660856405</v>
      </c>
    </row>
    <row r="72" spans="1:8" ht="16" x14ac:dyDescent="0.45">
      <c r="A72" s="7">
        <v>68</v>
      </c>
      <c r="B72" s="7" t="s">
        <v>77</v>
      </c>
      <c r="C72" s="8">
        <v>3761.35</v>
      </c>
      <c r="D72" s="8">
        <v>3786.52</v>
      </c>
      <c r="E72" s="8">
        <v>3717.93</v>
      </c>
      <c r="F72" s="8">
        <v>3744.39</v>
      </c>
      <c r="G72" s="8">
        <v>2808.29</v>
      </c>
      <c r="H72" s="9">
        <v>738248899</v>
      </c>
    </row>
    <row r="73" spans="1:8" ht="16" x14ac:dyDescent="0.45">
      <c r="A73" s="4">
        <v>69</v>
      </c>
      <c r="B73" s="4" t="s">
        <v>78</v>
      </c>
      <c r="C73" s="5">
        <v>3755.64</v>
      </c>
      <c r="D73" s="5">
        <v>3831.24</v>
      </c>
      <c r="E73" s="5">
        <v>3693.89</v>
      </c>
      <c r="F73" s="5">
        <v>3826.14</v>
      </c>
      <c r="G73" s="5">
        <v>2869.6</v>
      </c>
      <c r="H73" s="6">
        <v>936572697</v>
      </c>
    </row>
    <row r="74" spans="1:8" ht="16" x14ac:dyDescent="0.45">
      <c r="A74" s="7">
        <v>70</v>
      </c>
      <c r="B74" s="7" t="s">
        <v>79</v>
      </c>
      <c r="C74" s="8">
        <v>3825.55</v>
      </c>
      <c r="D74" s="8">
        <v>3865.79</v>
      </c>
      <c r="E74" s="8">
        <v>3790.95</v>
      </c>
      <c r="F74" s="8">
        <v>3813.57</v>
      </c>
      <c r="G74" s="8">
        <v>2860.18</v>
      </c>
      <c r="H74" s="9">
        <v>536985033</v>
      </c>
    </row>
    <row r="75" spans="1:8" ht="16" x14ac:dyDescent="0.45">
      <c r="A75" s="4">
        <v>71</v>
      </c>
      <c r="B75" s="4" t="s">
        <v>80</v>
      </c>
      <c r="C75" s="5">
        <v>3835.55</v>
      </c>
      <c r="D75" s="5">
        <v>3838.04</v>
      </c>
      <c r="E75" s="5">
        <v>3818.09</v>
      </c>
      <c r="F75" s="5">
        <v>3838.04</v>
      </c>
      <c r="G75" s="5">
        <v>2878.53</v>
      </c>
      <c r="H75" s="6">
        <v>846638935</v>
      </c>
    </row>
    <row r="76" spans="1:8" ht="16" x14ac:dyDescent="0.45">
      <c r="A76" s="7">
        <v>72</v>
      </c>
      <c r="B76" s="7" t="s">
        <v>81</v>
      </c>
      <c r="C76" s="8">
        <v>3907.64</v>
      </c>
      <c r="D76" s="8">
        <v>3919.69</v>
      </c>
      <c r="E76" s="8">
        <v>3796.5</v>
      </c>
      <c r="F76" s="8">
        <v>3901.99</v>
      </c>
      <c r="G76" s="8">
        <v>2926.49</v>
      </c>
      <c r="H76" s="9">
        <v>693623480</v>
      </c>
    </row>
    <row r="77" spans="1:8" ht="16" x14ac:dyDescent="0.45">
      <c r="A77" s="4">
        <v>73</v>
      </c>
      <c r="B77" s="4" t="s">
        <v>82</v>
      </c>
      <c r="C77" s="5">
        <v>3982.41</v>
      </c>
      <c r="D77" s="5">
        <v>4008.24</v>
      </c>
      <c r="E77" s="5">
        <v>3974.84</v>
      </c>
      <c r="F77" s="5">
        <v>4006.95</v>
      </c>
      <c r="G77" s="5">
        <v>3005.21</v>
      </c>
      <c r="H77" s="6">
        <v>368988554</v>
      </c>
    </row>
    <row r="78" spans="1:8" ht="16" x14ac:dyDescent="0.45">
      <c r="A78" s="7">
        <v>74</v>
      </c>
      <c r="B78" s="7" t="s">
        <v>83</v>
      </c>
      <c r="C78" s="8">
        <v>4025.88</v>
      </c>
      <c r="D78" s="8">
        <v>4063.65</v>
      </c>
      <c r="E78" s="8">
        <v>3976.83</v>
      </c>
      <c r="F78" s="8">
        <v>4019.01</v>
      </c>
      <c r="G78" s="8">
        <v>3014.26</v>
      </c>
      <c r="H78" s="9">
        <v>661300193</v>
      </c>
    </row>
    <row r="79" spans="1:8" ht="16" x14ac:dyDescent="0.45">
      <c r="A79" s="4">
        <v>75</v>
      </c>
      <c r="B79" s="4" t="s">
        <v>84</v>
      </c>
      <c r="C79" s="5">
        <v>4047.99</v>
      </c>
      <c r="D79" s="5">
        <v>4067.02</v>
      </c>
      <c r="E79" s="5">
        <v>4008.93</v>
      </c>
      <c r="F79" s="5">
        <v>4061.05</v>
      </c>
      <c r="G79" s="5">
        <v>3045.79</v>
      </c>
      <c r="H79" s="6">
        <v>944884430</v>
      </c>
    </row>
    <row r="80" spans="1:8" ht="16" x14ac:dyDescent="0.45">
      <c r="A80" s="7">
        <v>76</v>
      </c>
      <c r="B80" s="7" t="s">
        <v>85</v>
      </c>
      <c r="C80" s="8">
        <v>4087.24</v>
      </c>
      <c r="D80" s="8">
        <v>4136.24</v>
      </c>
      <c r="E80" s="8">
        <v>4036.2</v>
      </c>
      <c r="F80" s="8">
        <v>4103.5600000000004</v>
      </c>
      <c r="G80" s="8">
        <v>3077.67</v>
      </c>
      <c r="H80" s="9">
        <v>882908703</v>
      </c>
    </row>
    <row r="81" spans="1:8" ht="16" x14ac:dyDescent="0.45">
      <c r="A81" s="4">
        <v>77</v>
      </c>
      <c r="B81" s="4" t="s">
        <v>86</v>
      </c>
      <c r="C81" s="5">
        <v>3975.91</v>
      </c>
      <c r="D81" s="5">
        <v>4023</v>
      </c>
      <c r="E81" s="5">
        <v>3920.46</v>
      </c>
      <c r="F81" s="5">
        <v>4023</v>
      </c>
      <c r="G81" s="5">
        <v>3017.25</v>
      </c>
      <c r="H81" s="6">
        <v>711427078</v>
      </c>
    </row>
    <row r="82" spans="1:8" ht="16" x14ac:dyDescent="0.45">
      <c r="A82" s="7">
        <v>78</v>
      </c>
      <c r="B82" s="7" t="s">
        <v>87</v>
      </c>
      <c r="C82" s="8">
        <v>4132.29</v>
      </c>
      <c r="D82" s="8">
        <v>4221.21</v>
      </c>
      <c r="E82" s="8">
        <v>4106.95</v>
      </c>
      <c r="F82" s="8">
        <v>4155.25</v>
      </c>
      <c r="G82" s="8">
        <v>3116.43</v>
      </c>
      <c r="H82" s="9">
        <v>313093363</v>
      </c>
    </row>
    <row r="83" spans="1:8" ht="16" x14ac:dyDescent="0.45">
      <c r="A83" s="4">
        <v>79</v>
      </c>
      <c r="B83" s="4" t="s">
        <v>88</v>
      </c>
      <c r="C83" s="5">
        <v>4057.81</v>
      </c>
      <c r="D83" s="5">
        <v>4081.78</v>
      </c>
      <c r="E83" s="5">
        <v>3958.53</v>
      </c>
      <c r="F83" s="5">
        <v>4081.78</v>
      </c>
      <c r="G83" s="5">
        <v>3061.34</v>
      </c>
      <c r="H83" s="6">
        <v>831330833</v>
      </c>
    </row>
    <row r="84" spans="1:8" ht="16" x14ac:dyDescent="0.45">
      <c r="A84" s="7">
        <v>80</v>
      </c>
      <c r="B84" s="7" t="s">
        <v>89</v>
      </c>
      <c r="C84" s="8">
        <v>3915.31</v>
      </c>
      <c r="D84" s="8">
        <v>3951.28</v>
      </c>
      <c r="E84" s="8">
        <v>3859.31</v>
      </c>
      <c r="F84" s="8">
        <v>3951.28</v>
      </c>
      <c r="G84" s="8">
        <v>2963.46</v>
      </c>
      <c r="H84" s="9">
        <v>935959569</v>
      </c>
    </row>
    <row r="85" spans="1:8" ht="16" x14ac:dyDescent="0.45">
      <c r="A85" s="4">
        <v>81</v>
      </c>
      <c r="B85" s="4" t="s">
        <v>90</v>
      </c>
      <c r="C85" s="5">
        <v>3874.28</v>
      </c>
      <c r="D85" s="5">
        <v>3908.35</v>
      </c>
      <c r="E85" s="5">
        <v>3816.48</v>
      </c>
      <c r="F85" s="5">
        <v>3834.81</v>
      </c>
      <c r="G85" s="5">
        <v>2876.11</v>
      </c>
      <c r="H85" s="6">
        <v>267517254</v>
      </c>
    </row>
    <row r="86" spans="1:8" ht="16" x14ac:dyDescent="0.45">
      <c r="A86" s="7">
        <v>82</v>
      </c>
      <c r="B86" s="7" t="s">
        <v>91</v>
      </c>
      <c r="C86" s="8">
        <v>3940.02</v>
      </c>
      <c r="D86" s="8">
        <v>4002.89</v>
      </c>
      <c r="E86" s="8">
        <v>3874.86</v>
      </c>
      <c r="F86" s="8">
        <v>3931.79</v>
      </c>
      <c r="G86" s="8">
        <v>2948.84</v>
      </c>
      <c r="H86" s="9">
        <v>912383073</v>
      </c>
    </row>
    <row r="87" spans="1:8" ht="16" x14ac:dyDescent="0.45">
      <c r="A87" s="4">
        <v>83</v>
      </c>
      <c r="B87" s="4" t="s">
        <v>92</v>
      </c>
      <c r="C87" s="5">
        <v>3885.48</v>
      </c>
      <c r="D87" s="5">
        <v>3896.88</v>
      </c>
      <c r="E87" s="5">
        <v>3817.02</v>
      </c>
      <c r="F87" s="5">
        <v>3896.88</v>
      </c>
      <c r="G87" s="5">
        <v>2922.66</v>
      </c>
      <c r="H87" s="6">
        <v>769588310</v>
      </c>
    </row>
    <row r="88" spans="1:8" ht="16" x14ac:dyDescent="0.45">
      <c r="A88" s="7">
        <v>84</v>
      </c>
      <c r="B88" s="7" t="s">
        <v>93</v>
      </c>
      <c r="C88" s="8">
        <v>3825.98</v>
      </c>
      <c r="D88" s="8">
        <v>3832.3</v>
      </c>
      <c r="E88" s="8">
        <v>3784.69</v>
      </c>
      <c r="F88" s="8">
        <v>3784.69</v>
      </c>
      <c r="G88" s="8">
        <v>2838.52</v>
      </c>
      <c r="H88" s="9">
        <v>560368160</v>
      </c>
    </row>
    <row r="89" spans="1:8" ht="16" x14ac:dyDescent="0.45">
      <c r="A89" s="4">
        <v>85</v>
      </c>
      <c r="B89" s="4" t="s">
        <v>94</v>
      </c>
      <c r="C89" s="5">
        <v>4025.68</v>
      </c>
      <c r="D89" s="5">
        <v>4055.61</v>
      </c>
      <c r="E89" s="5">
        <v>4000.84</v>
      </c>
      <c r="F89" s="5">
        <v>4055.61</v>
      </c>
      <c r="G89" s="5">
        <v>3041.71</v>
      </c>
      <c r="H89" s="6">
        <v>713938116</v>
      </c>
    </row>
    <row r="90" spans="1:8" ht="16" x14ac:dyDescent="0.45">
      <c r="A90" s="7">
        <v>86</v>
      </c>
      <c r="B90" s="7" t="s">
        <v>95</v>
      </c>
      <c r="C90" s="8">
        <v>4097.8500000000004</v>
      </c>
      <c r="D90" s="8">
        <v>4125.2700000000004</v>
      </c>
      <c r="E90" s="8">
        <v>4054.88</v>
      </c>
      <c r="F90" s="8">
        <v>4123.67</v>
      </c>
      <c r="G90" s="8">
        <v>3092.75</v>
      </c>
      <c r="H90" s="9">
        <v>401165946</v>
      </c>
    </row>
    <row r="91" spans="1:8" ht="16" x14ac:dyDescent="0.45">
      <c r="A91" s="4">
        <v>87</v>
      </c>
      <c r="B91" s="4" t="s">
        <v>96</v>
      </c>
      <c r="C91" s="5">
        <v>4189.79</v>
      </c>
      <c r="D91" s="5">
        <v>4212.28</v>
      </c>
      <c r="E91" s="5">
        <v>4162.75</v>
      </c>
      <c r="F91" s="5">
        <v>4202.55</v>
      </c>
      <c r="G91" s="5">
        <v>3151.92</v>
      </c>
      <c r="H91" s="6">
        <v>260402229</v>
      </c>
    </row>
    <row r="92" spans="1:8" ht="16" x14ac:dyDescent="0.45">
      <c r="A92" s="7">
        <v>88</v>
      </c>
      <c r="B92" s="7" t="s">
        <v>97</v>
      </c>
      <c r="C92" s="8">
        <v>4248.25</v>
      </c>
      <c r="D92" s="8">
        <v>4279.1000000000004</v>
      </c>
      <c r="E92" s="8">
        <v>4203.8500000000004</v>
      </c>
      <c r="F92" s="8">
        <v>4239.99</v>
      </c>
      <c r="G92" s="8">
        <v>3179.99</v>
      </c>
      <c r="H92" s="9">
        <v>609266570</v>
      </c>
    </row>
    <row r="93" spans="1:8" ht="16" x14ac:dyDescent="0.45">
      <c r="A93" s="4">
        <v>89</v>
      </c>
      <c r="B93" s="4" t="s">
        <v>98</v>
      </c>
      <c r="C93" s="5">
        <v>4145.37</v>
      </c>
      <c r="D93" s="5">
        <v>4187.07</v>
      </c>
      <c r="E93" s="5">
        <v>4106.87</v>
      </c>
      <c r="F93" s="5">
        <v>4173.55</v>
      </c>
      <c r="G93" s="5">
        <v>3130.16</v>
      </c>
      <c r="H93" s="6">
        <v>886790580</v>
      </c>
    </row>
    <row r="94" spans="1:8" ht="16" x14ac:dyDescent="0.45">
      <c r="A94" s="7">
        <v>90</v>
      </c>
      <c r="B94" s="7" t="s">
        <v>99</v>
      </c>
      <c r="C94" s="8">
        <v>4187.47</v>
      </c>
      <c r="D94" s="8">
        <v>4201.17</v>
      </c>
      <c r="E94" s="8">
        <v>4144.3999999999996</v>
      </c>
      <c r="F94" s="8">
        <v>4178.42</v>
      </c>
      <c r="G94" s="8">
        <v>3133.81</v>
      </c>
      <c r="H94" s="9">
        <v>319424923</v>
      </c>
    </row>
    <row r="95" spans="1:8" ht="16" x14ac:dyDescent="0.45">
      <c r="A95" s="4">
        <v>91</v>
      </c>
      <c r="B95" s="4" t="s">
        <v>100</v>
      </c>
      <c r="C95" s="5">
        <v>4343.0200000000004</v>
      </c>
      <c r="D95" s="5">
        <v>4411.04</v>
      </c>
      <c r="E95" s="5">
        <v>4290.96</v>
      </c>
      <c r="F95" s="5">
        <v>4338.17</v>
      </c>
      <c r="G95" s="5">
        <v>3253.63</v>
      </c>
      <c r="H95" s="6">
        <v>487252133</v>
      </c>
    </row>
    <row r="96" spans="1:8" ht="16" x14ac:dyDescent="0.45">
      <c r="A96" s="7">
        <v>92</v>
      </c>
      <c r="B96" s="7" t="s">
        <v>101</v>
      </c>
      <c r="C96" s="8">
        <v>4328.6099999999997</v>
      </c>
      <c r="D96" s="8">
        <v>4338.32</v>
      </c>
      <c r="E96" s="8">
        <v>4277.29</v>
      </c>
      <c r="F96" s="8">
        <v>4338.32</v>
      </c>
      <c r="G96" s="8">
        <v>3253.74</v>
      </c>
      <c r="H96" s="9">
        <v>639459514</v>
      </c>
    </row>
    <row r="97" spans="1:8" ht="16" x14ac:dyDescent="0.45">
      <c r="A97" s="4">
        <v>93</v>
      </c>
      <c r="B97" s="4" t="s">
        <v>102</v>
      </c>
      <c r="C97" s="5">
        <v>4362</v>
      </c>
      <c r="D97" s="5">
        <v>4393.68</v>
      </c>
      <c r="E97" s="5">
        <v>4340.76</v>
      </c>
      <c r="F97" s="5">
        <v>4373.96</v>
      </c>
      <c r="G97" s="5">
        <v>3280.47</v>
      </c>
      <c r="H97" s="6">
        <v>654542962</v>
      </c>
    </row>
    <row r="98" spans="1:8" ht="16" x14ac:dyDescent="0.45">
      <c r="A98" s="7">
        <v>94</v>
      </c>
      <c r="B98" s="7" t="s">
        <v>103</v>
      </c>
      <c r="C98" s="8">
        <v>4273.46</v>
      </c>
      <c r="D98" s="8">
        <v>4300.2</v>
      </c>
      <c r="E98" s="8">
        <v>4210.04</v>
      </c>
      <c r="F98" s="8">
        <v>4300.2</v>
      </c>
      <c r="G98" s="8">
        <v>3225.15</v>
      </c>
      <c r="H98" s="9">
        <v>815054959</v>
      </c>
    </row>
    <row r="99" spans="1:8" ht="16" x14ac:dyDescent="0.45">
      <c r="A99" s="4">
        <v>95</v>
      </c>
      <c r="B99" s="4" t="s">
        <v>104</v>
      </c>
      <c r="C99" s="5">
        <v>4399.1499999999996</v>
      </c>
      <c r="D99" s="5">
        <v>4445.4399999999996</v>
      </c>
      <c r="E99" s="5">
        <v>4371.32</v>
      </c>
      <c r="F99" s="5">
        <v>4421.8</v>
      </c>
      <c r="G99" s="5">
        <v>3316.35</v>
      </c>
      <c r="H99" s="6">
        <v>487877259</v>
      </c>
    </row>
    <row r="100" spans="1:8" ht="16" x14ac:dyDescent="0.45">
      <c r="A100" s="7">
        <v>96</v>
      </c>
      <c r="B100" s="7" t="s">
        <v>105</v>
      </c>
      <c r="C100" s="8">
        <v>4435.09</v>
      </c>
      <c r="D100" s="8">
        <v>4436.96</v>
      </c>
      <c r="E100" s="8">
        <v>4416.1499999999996</v>
      </c>
      <c r="F100" s="8">
        <v>4416.1499999999996</v>
      </c>
      <c r="G100" s="8">
        <v>3312.11</v>
      </c>
      <c r="H100" s="9">
        <v>755117177</v>
      </c>
    </row>
    <row r="101" spans="1:8" ht="16" x14ac:dyDescent="0.45">
      <c r="A101" s="4">
        <v>97</v>
      </c>
      <c r="B101" s="4" t="s">
        <v>106</v>
      </c>
      <c r="C101" s="5">
        <v>4493.03</v>
      </c>
      <c r="D101" s="5">
        <v>4494.58</v>
      </c>
      <c r="E101" s="5">
        <v>4442.78</v>
      </c>
      <c r="F101" s="5">
        <v>4494.58</v>
      </c>
      <c r="G101" s="5">
        <v>3370.94</v>
      </c>
      <c r="H101" s="6">
        <v>559430930</v>
      </c>
    </row>
    <row r="102" spans="1:8" ht="16" x14ac:dyDescent="0.45">
      <c r="A102" s="7">
        <v>98</v>
      </c>
      <c r="B102" s="7" t="s">
        <v>107</v>
      </c>
      <c r="C102" s="8">
        <v>4383.43</v>
      </c>
      <c r="D102" s="8">
        <v>4394.37</v>
      </c>
      <c r="E102" s="8">
        <v>4372.34</v>
      </c>
      <c r="F102" s="8">
        <v>4380.33</v>
      </c>
      <c r="G102" s="8">
        <v>3285.25</v>
      </c>
      <c r="H102" s="9">
        <v>281792153</v>
      </c>
    </row>
    <row r="103" spans="1:8" ht="16" x14ac:dyDescent="0.45">
      <c r="A103" s="4">
        <v>99</v>
      </c>
      <c r="B103" s="4" t="s">
        <v>108</v>
      </c>
      <c r="C103" s="5">
        <v>4348.9399999999996</v>
      </c>
      <c r="D103" s="5">
        <v>4374.58</v>
      </c>
      <c r="E103" s="5">
        <v>4324.54</v>
      </c>
      <c r="F103" s="5">
        <v>4324.54</v>
      </c>
      <c r="G103" s="5">
        <v>3243.41</v>
      </c>
      <c r="H103" s="6">
        <v>742569884</v>
      </c>
    </row>
    <row r="104" spans="1:8" ht="16" x14ac:dyDescent="0.45">
      <c r="A104" s="7">
        <v>100</v>
      </c>
      <c r="B104" s="7" t="s">
        <v>109</v>
      </c>
      <c r="C104" s="8">
        <v>4324.7299999999996</v>
      </c>
      <c r="D104" s="8">
        <v>4401.34</v>
      </c>
      <c r="E104" s="8">
        <v>4273.8999999999996</v>
      </c>
      <c r="F104" s="8">
        <v>4317.55</v>
      </c>
      <c r="G104" s="8">
        <v>3238.16</v>
      </c>
      <c r="H104" s="9">
        <v>264599591</v>
      </c>
    </row>
    <row r="105" spans="1:8" ht="16" x14ac:dyDescent="0.45">
      <c r="A105" s="4">
        <v>101</v>
      </c>
      <c r="B105" s="4" t="s">
        <v>110</v>
      </c>
      <c r="C105" s="5">
        <v>4211.6400000000003</v>
      </c>
      <c r="D105" s="5">
        <v>4281.8</v>
      </c>
      <c r="E105" s="5">
        <v>4152.1099999999997</v>
      </c>
      <c r="F105" s="5">
        <v>4226.05</v>
      </c>
      <c r="G105" s="5">
        <v>3169.54</v>
      </c>
      <c r="H105" s="6">
        <v>527036687</v>
      </c>
    </row>
    <row r="106" spans="1:8" ht="16" x14ac:dyDescent="0.45">
      <c r="A106" s="7">
        <v>102</v>
      </c>
      <c r="B106" s="7" t="s">
        <v>111</v>
      </c>
      <c r="C106" s="8">
        <v>4191.55</v>
      </c>
      <c r="D106" s="8">
        <v>4222.95</v>
      </c>
      <c r="E106" s="8">
        <v>4151.05</v>
      </c>
      <c r="F106" s="8">
        <v>4199.72</v>
      </c>
      <c r="G106" s="8">
        <v>3149.79</v>
      </c>
      <c r="H106" s="9">
        <v>494562685</v>
      </c>
    </row>
    <row r="107" spans="1:8" ht="16" x14ac:dyDescent="0.45">
      <c r="A107" s="4">
        <v>103</v>
      </c>
      <c r="B107" s="4" t="s">
        <v>112</v>
      </c>
      <c r="C107" s="5">
        <v>4350.53</v>
      </c>
      <c r="D107" s="5">
        <v>4408.2299999999996</v>
      </c>
      <c r="E107" s="5">
        <v>4329.42</v>
      </c>
      <c r="F107" s="5">
        <v>4383.5</v>
      </c>
      <c r="G107" s="5">
        <v>3287.63</v>
      </c>
      <c r="H107" s="6">
        <v>708856307</v>
      </c>
    </row>
    <row r="108" spans="1:8" ht="16" x14ac:dyDescent="0.45">
      <c r="A108" s="7">
        <v>104</v>
      </c>
      <c r="B108" s="7" t="s">
        <v>113</v>
      </c>
      <c r="C108" s="8">
        <v>4380.62</v>
      </c>
      <c r="D108" s="8">
        <v>4440.8500000000004</v>
      </c>
      <c r="E108" s="8">
        <v>4298.8500000000004</v>
      </c>
      <c r="F108" s="8">
        <v>4408.4399999999996</v>
      </c>
      <c r="G108" s="8">
        <v>3306.33</v>
      </c>
      <c r="H108" s="9">
        <v>854972812</v>
      </c>
    </row>
    <row r="109" spans="1:8" ht="16" x14ac:dyDescent="0.45">
      <c r="A109" s="4">
        <v>105</v>
      </c>
      <c r="B109" s="4" t="s">
        <v>114</v>
      </c>
      <c r="C109" s="5">
        <v>4426.4399999999996</v>
      </c>
      <c r="D109" s="5">
        <v>4433.24</v>
      </c>
      <c r="E109" s="5">
        <v>4398.09</v>
      </c>
      <c r="F109" s="5">
        <v>4398.09</v>
      </c>
      <c r="G109" s="5">
        <v>3298.57</v>
      </c>
      <c r="H109" s="6">
        <v>467285495</v>
      </c>
    </row>
    <row r="110" spans="1:8" ht="16" x14ac:dyDescent="0.45">
      <c r="A110" s="7">
        <v>106</v>
      </c>
      <c r="B110" s="7" t="s">
        <v>115</v>
      </c>
      <c r="C110" s="8">
        <v>4391.97</v>
      </c>
      <c r="D110" s="8">
        <v>4441.9799999999996</v>
      </c>
      <c r="E110" s="8">
        <v>4355.5600000000004</v>
      </c>
      <c r="F110" s="8">
        <v>4371.57</v>
      </c>
      <c r="G110" s="8">
        <v>3278.68</v>
      </c>
      <c r="H110" s="9">
        <v>706286218</v>
      </c>
    </row>
    <row r="111" spans="1:8" ht="16" x14ac:dyDescent="0.45">
      <c r="A111" s="4">
        <v>107</v>
      </c>
      <c r="B111" s="4" t="s">
        <v>116</v>
      </c>
      <c r="C111" s="5">
        <v>4330.7</v>
      </c>
      <c r="D111" s="5">
        <v>4347.1899999999996</v>
      </c>
      <c r="E111" s="5">
        <v>4290.46</v>
      </c>
      <c r="F111" s="5">
        <v>4296.0600000000004</v>
      </c>
      <c r="G111" s="5">
        <v>3222.04</v>
      </c>
      <c r="H111" s="6">
        <v>557595254</v>
      </c>
    </row>
    <row r="112" spans="1:8" ht="16" x14ac:dyDescent="0.45">
      <c r="A112" s="7">
        <v>108</v>
      </c>
      <c r="B112" s="7" t="s">
        <v>117</v>
      </c>
      <c r="C112" s="8">
        <v>4299.3100000000004</v>
      </c>
      <c r="D112" s="8">
        <v>4331.7</v>
      </c>
      <c r="E112" s="8">
        <v>4265.22</v>
      </c>
      <c r="F112" s="8">
        <v>4331.7</v>
      </c>
      <c r="G112" s="8">
        <v>3248.78</v>
      </c>
      <c r="H112" s="9">
        <v>703113749</v>
      </c>
    </row>
    <row r="113" spans="1:8" ht="16" x14ac:dyDescent="0.45">
      <c r="A113" s="4">
        <v>109</v>
      </c>
      <c r="B113" s="4" t="s">
        <v>118</v>
      </c>
      <c r="C113" s="5">
        <v>4361.63</v>
      </c>
      <c r="D113" s="5">
        <v>4429.57</v>
      </c>
      <c r="E113" s="5">
        <v>4338.75</v>
      </c>
      <c r="F113" s="5">
        <v>4338.75</v>
      </c>
      <c r="G113" s="5">
        <v>3254.07</v>
      </c>
      <c r="H113" s="6">
        <v>927387555</v>
      </c>
    </row>
    <row r="114" spans="1:8" ht="16" x14ac:dyDescent="0.45">
      <c r="A114" s="7">
        <v>110</v>
      </c>
      <c r="B114" s="7" t="s">
        <v>119</v>
      </c>
      <c r="C114" s="8">
        <v>4377.95</v>
      </c>
      <c r="D114" s="8">
        <v>4483.7</v>
      </c>
      <c r="E114" s="8">
        <v>4351.0600000000004</v>
      </c>
      <c r="F114" s="8">
        <v>4454.7299999999996</v>
      </c>
      <c r="G114" s="8">
        <v>3341.05</v>
      </c>
      <c r="H114" s="9">
        <v>767142270</v>
      </c>
    </row>
    <row r="115" spans="1:8" ht="16" x14ac:dyDescent="0.45">
      <c r="A115" s="4">
        <v>111</v>
      </c>
      <c r="B115" s="4" t="s">
        <v>120</v>
      </c>
      <c r="C115" s="5">
        <v>4501.75</v>
      </c>
      <c r="D115" s="5">
        <v>4552.6099999999997</v>
      </c>
      <c r="E115" s="5">
        <v>4471.05</v>
      </c>
      <c r="F115" s="5">
        <v>4471.05</v>
      </c>
      <c r="G115" s="5">
        <v>3353.28</v>
      </c>
      <c r="H115" s="6">
        <v>913367787</v>
      </c>
    </row>
    <row r="116" spans="1:8" ht="16" x14ac:dyDescent="0.45">
      <c r="A116" s="7">
        <v>112</v>
      </c>
      <c r="B116" s="7" t="s">
        <v>121</v>
      </c>
      <c r="C116" s="8">
        <v>4468.91</v>
      </c>
      <c r="D116" s="8">
        <v>4478.96</v>
      </c>
      <c r="E116" s="8">
        <v>4454.3</v>
      </c>
      <c r="F116" s="8">
        <v>4478.96</v>
      </c>
      <c r="G116" s="8">
        <v>3359.22</v>
      </c>
      <c r="H116" s="9">
        <v>365877416</v>
      </c>
    </row>
    <row r="117" spans="1:8" ht="16" x14ac:dyDescent="0.45">
      <c r="A117" s="4">
        <v>113</v>
      </c>
      <c r="B117" s="4" t="s">
        <v>122</v>
      </c>
      <c r="C117" s="5">
        <v>4466.25</v>
      </c>
      <c r="D117" s="5">
        <v>4516.17</v>
      </c>
      <c r="E117" s="5">
        <v>4429.6000000000004</v>
      </c>
      <c r="F117" s="5">
        <v>4501.07</v>
      </c>
      <c r="G117" s="5">
        <v>3375.8</v>
      </c>
      <c r="H117" s="6">
        <v>623807804</v>
      </c>
    </row>
    <row r="118" spans="1:8" ht="16" x14ac:dyDescent="0.45">
      <c r="A118" s="7">
        <v>114</v>
      </c>
      <c r="B118" s="7" t="s">
        <v>123</v>
      </c>
      <c r="C118" s="8">
        <v>4381.51</v>
      </c>
      <c r="D118" s="8">
        <v>4413.45</v>
      </c>
      <c r="E118" s="8">
        <v>4302.92</v>
      </c>
      <c r="F118" s="8">
        <v>4354.26</v>
      </c>
      <c r="G118" s="8">
        <v>3265.69</v>
      </c>
      <c r="H118" s="9">
        <v>619221851</v>
      </c>
    </row>
    <row r="119" spans="1:8" ht="16" x14ac:dyDescent="0.45">
      <c r="A119" s="4">
        <v>115</v>
      </c>
      <c r="B119" s="4" t="s">
        <v>124</v>
      </c>
      <c r="C119" s="5">
        <v>4396.24</v>
      </c>
      <c r="D119" s="5">
        <v>4406.3599999999997</v>
      </c>
      <c r="E119" s="5">
        <v>4320.2299999999996</v>
      </c>
      <c r="F119" s="5">
        <v>4406.3599999999997</v>
      </c>
      <c r="G119" s="5">
        <v>3304.77</v>
      </c>
      <c r="H119" s="6">
        <v>784181781</v>
      </c>
    </row>
    <row r="120" spans="1:8" ht="16" x14ac:dyDescent="0.45">
      <c r="A120" s="7">
        <v>116</v>
      </c>
      <c r="B120" s="7" t="s">
        <v>125</v>
      </c>
      <c r="C120" s="8">
        <v>4331.08</v>
      </c>
      <c r="D120" s="8">
        <v>4395.6899999999996</v>
      </c>
      <c r="E120" s="8">
        <v>4294.3</v>
      </c>
      <c r="F120" s="8">
        <v>4331.28</v>
      </c>
      <c r="G120" s="8">
        <v>3248.46</v>
      </c>
      <c r="H120" s="9">
        <v>946167745</v>
      </c>
    </row>
    <row r="121" spans="1:8" ht="16" x14ac:dyDescent="0.45">
      <c r="A121" s="4">
        <v>117</v>
      </c>
      <c r="B121" s="4" t="s">
        <v>126</v>
      </c>
      <c r="C121" s="5">
        <v>4315.83</v>
      </c>
      <c r="D121" s="5">
        <v>4386.66</v>
      </c>
      <c r="E121" s="5">
        <v>4297.62</v>
      </c>
      <c r="F121" s="5">
        <v>4386.66</v>
      </c>
      <c r="G121" s="5">
        <v>3289.99</v>
      </c>
      <c r="H121" s="6">
        <v>347154884</v>
      </c>
    </row>
    <row r="122" spans="1:8" ht="16" x14ac:dyDescent="0.45">
      <c r="A122" s="7">
        <v>118</v>
      </c>
      <c r="B122" s="7" t="s">
        <v>127</v>
      </c>
      <c r="C122" s="8">
        <v>4431.42</v>
      </c>
      <c r="D122" s="8">
        <v>4454.8500000000004</v>
      </c>
      <c r="E122" s="8">
        <v>4383.74</v>
      </c>
      <c r="F122" s="8">
        <v>4433.83</v>
      </c>
      <c r="G122" s="8">
        <v>3325.37</v>
      </c>
      <c r="H122" s="9">
        <v>451671104</v>
      </c>
    </row>
    <row r="123" spans="1:8" ht="16" x14ac:dyDescent="0.45">
      <c r="A123" s="4">
        <v>119</v>
      </c>
      <c r="B123" s="4" t="s">
        <v>128</v>
      </c>
      <c r="C123" s="5">
        <v>4408.75</v>
      </c>
      <c r="D123" s="5">
        <v>4432.07</v>
      </c>
      <c r="E123" s="5">
        <v>4370.82</v>
      </c>
      <c r="F123" s="5">
        <v>4432.07</v>
      </c>
      <c r="G123" s="5">
        <v>3324.05</v>
      </c>
      <c r="H123" s="6">
        <v>261504746</v>
      </c>
    </row>
    <row r="124" spans="1:8" ht="16" x14ac:dyDescent="0.45">
      <c r="A124" s="7">
        <v>120</v>
      </c>
      <c r="B124" s="7" t="s">
        <v>129</v>
      </c>
      <c r="C124" s="8">
        <v>4434.51</v>
      </c>
      <c r="D124" s="8">
        <v>4447.72</v>
      </c>
      <c r="E124" s="8">
        <v>4388.0200000000004</v>
      </c>
      <c r="F124" s="8">
        <v>4415.32</v>
      </c>
      <c r="G124" s="8">
        <v>3311.49</v>
      </c>
      <c r="H124" s="9">
        <v>309929768</v>
      </c>
    </row>
    <row r="125" spans="1:8" ht="16" x14ac:dyDescent="0.45">
      <c r="A125" s="4">
        <v>121</v>
      </c>
      <c r="B125" s="4" t="s">
        <v>130</v>
      </c>
      <c r="C125" s="5">
        <v>4421.67</v>
      </c>
      <c r="D125" s="5">
        <v>4452.8</v>
      </c>
      <c r="E125" s="5">
        <v>4362.78</v>
      </c>
      <c r="F125" s="5">
        <v>4452.8</v>
      </c>
      <c r="G125" s="5">
        <v>3339.6</v>
      </c>
      <c r="H125" s="6">
        <v>790050961</v>
      </c>
    </row>
    <row r="126" spans="1:8" ht="16" x14ac:dyDescent="0.45">
      <c r="A126" s="7">
        <v>122</v>
      </c>
      <c r="B126" s="7" t="s">
        <v>131</v>
      </c>
      <c r="C126" s="8">
        <v>4495.1099999999997</v>
      </c>
      <c r="D126" s="8">
        <v>4498.16</v>
      </c>
      <c r="E126" s="8">
        <v>4438.8100000000004</v>
      </c>
      <c r="F126" s="8">
        <v>4498.16</v>
      </c>
      <c r="G126" s="8">
        <v>3373.62</v>
      </c>
      <c r="H126" s="9">
        <v>736772476</v>
      </c>
    </row>
    <row r="127" spans="1:8" ht="16" x14ac:dyDescent="0.45">
      <c r="A127" s="4">
        <v>123</v>
      </c>
      <c r="B127" s="4" t="s">
        <v>132</v>
      </c>
      <c r="C127" s="5">
        <v>4582.08</v>
      </c>
      <c r="D127" s="5">
        <v>4619.51</v>
      </c>
      <c r="E127" s="5">
        <v>4481.43</v>
      </c>
      <c r="F127" s="5">
        <v>4586.53</v>
      </c>
      <c r="G127" s="5">
        <v>3439.9</v>
      </c>
      <c r="H127" s="6">
        <v>777303643</v>
      </c>
    </row>
    <row r="128" spans="1:8" ht="16" x14ac:dyDescent="0.45">
      <c r="A128" s="7">
        <v>124</v>
      </c>
      <c r="B128" s="7" t="s">
        <v>133</v>
      </c>
      <c r="C128" s="8">
        <v>4528.84</v>
      </c>
      <c r="D128" s="8">
        <v>4560.6099999999997</v>
      </c>
      <c r="E128" s="8">
        <v>4517.63</v>
      </c>
      <c r="F128" s="8">
        <v>4528.26</v>
      </c>
      <c r="G128" s="8">
        <v>3396.2</v>
      </c>
      <c r="H128" s="9">
        <v>897017326</v>
      </c>
    </row>
    <row r="129" spans="1:8" ht="16" x14ac:dyDescent="0.45">
      <c r="A129" s="4">
        <v>125</v>
      </c>
      <c r="B129" s="4" t="s">
        <v>134</v>
      </c>
      <c r="C129" s="5">
        <v>4539.8999999999996</v>
      </c>
      <c r="D129" s="5">
        <v>4590.4799999999996</v>
      </c>
      <c r="E129" s="5">
        <v>4475.17</v>
      </c>
      <c r="F129" s="5">
        <v>4545.07</v>
      </c>
      <c r="G129" s="5">
        <v>3408.81</v>
      </c>
      <c r="H129" s="6">
        <v>306048237</v>
      </c>
    </row>
    <row r="130" spans="1:8" ht="16" x14ac:dyDescent="0.45">
      <c r="A130" s="7">
        <v>126</v>
      </c>
      <c r="B130" s="7" t="s">
        <v>135</v>
      </c>
      <c r="C130" s="8">
        <v>4572.9399999999996</v>
      </c>
      <c r="D130" s="8">
        <v>4620.6099999999997</v>
      </c>
      <c r="E130" s="8">
        <v>4520.3900000000003</v>
      </c>
      <c r="F130" s="8">
        <v>4589.6099999999997</v>
      </c>
      <c r="G130" s="8">
        <v>3442.21</v>
      </c>
      <c r="H130" s="9">
        <v>810767182</v>
      </c>
    </row>
    <row r="131" spans="1:8" ht="16" x14ac:dyDescent="0.45">
      <c r="A131" s="4">
        <v>127</v>
      </c>
      <c r="B131" s="4" t="s">
        <v>136</v>
      </c>
      <c r="C131" s="5">
        <v>4480.3</v>
      </c>
      <c r="D131" s="5">
        <v>4511.01</v>
      </c>
      <c r="E131" s="5">
        <v>4433</v>
      </c>
      <c r="F131" s="5">
        <v>4438.59</v>
      </c>
      <c r="G131" s="5">
        <v>3328.95</v>
      </c>
      <c r="H131" s="6">
        <v>651745244</v>
      </c>
    </row>
    <row r="132" spans="1:8" ht="16" x14ac:dyDescent="0.45">
      <c r="A132" s="7">
        <v>128</v>
      </c>
      <c r="B132" s="7" t="s">
        <v>137</v>
      </c>
      <c r="C132" s="8">
        <v>4444.47</v>
      </c>
      <c r="D132" s="8">
        <v>4493.0200000000004</v>
      </c>
      <c r="E132" s="8">
        <v>4404.54</v>
      </c>
      <c r="F132" s="8">
        <v>4450.92</v>
      </c>
      <c r="G132" s="8">
        <v>3338.19</v>
      </c>
      <c r="H132" s="9">
        <v>432202839</v>
      </c>
    </row>
    <row r="133" spans="1:8" ht="16" x14ac:dyDescent="0.45">
      <c r="A133" s="4">
        <v>129</v>
      </c>
      <c r="B133" s="4" t="s">
        <v>138</v>
      </c>
      <c r="C133" s="5">
        <v>4449.72</v>
      </c>
      <c r="D133" s="5">
        <v>4517.33</v>
      </c>
      <c r="E133" s="5">
        <v>4378.8999999999996</v>
      </c>
      <c r="F133" s="5">
        <v>4488.92</v>
      </c>
      <c r="G133" s="5">
        <v>3366.69</v>
      </c>
      <c r="H133" s="6">
        <v>493197706</v>
      </c>
    </row>
    <row r="134" spans="1:8" ht="16" x14ac:dyDescent="0.45">
      <c r="A134" s="7">
        <v>130</v>
      </c>
      <c r="B134" s="7" t="s">
        <v>139</v>
      </c>
      <c r="C134" s="8">
        <v>4374.8</v>
      </c>
      <c r="D134" s="8">
        <v>4443.43</v>
      </c>
      <c r="E134" s="8">
        <v>4334.38</v>
      </c>
      <c r="F134" s="8">
        <v>4348</v>
      </c>
      <c r="G134" s="8">
        <v>3261</v>
      </c>
      <c r="H134" s="9">
        <v>803261142</v>
      </c>
    </row>
    <row r="135" spans="1:8" ht="16" x14ac:dyDescent="0.45">
      <c r="A135" s="4">
        <v>131</v>
      </c>
      <c r="B135" s="4" t="s">
        <v>140</v>
      </c>
      <c r="C135" s="5">
        <v>4267.82</v>
      </c>
      <c r="D135" s="5">
        <v>4313.53</v>
      </c>
      <c r="E135" s="5">
        <v>4253.51</v>
      </c>
      <c r="F135" s="5">
        <v>4276.41</v>
      </c>
      <c r="G135" s="5">
        <v>3207.31</v>
      </c>
      <c r="H135" s="6">
        <v>826337579</v>
      </c>
    </row>
    <row r="136" spans="1:8" ht="16" x14ac:dyDescent="0.45">
      <c r="A136" s="7">
        <v>132</v>
      </c>
      <c r="B136" s="7" t="s">
        <v>141</v>
      </c>
      <c r="C136" s="8">
        <v>4307.49</v>
      </c>
      <c r="D136" s="8">
        <v>4359.2700000000004</v>
      </c>
      <c r="E136" s="8">
        <v>4260.16</v>
      </c>
      <c r="F136" s="8">
        <v>4359.2700000000004</v>
      </c>
      <c r="G136" s="8">
        <v>3269.46</v>
      </c>
      <c r="H136" s="9">
        <v>887498589</v>
      </c>
    </row>
    <row r="137" spans="1:8" ht="16" x14ac:dyDescent="0.45">
      <c r="A137" s="4">
        <v>133</v>
      </c>
      <c r="B137" s="4" t="s">
        <v>142</v>
      </c>
      <c r="C137" s="5">
        <v>4309.3900000000003</v>
      </c>
      <c r="D137" s="5">
        <v>4323.2299999999996</v>
      </c>
      <c r="E137" s="5">
        <v>4298.7</v>
      </c>
      <c r="F137" s="5">
        <v>4313.88</v>
      </c>
      <c r="G137" s="5">
        <v>3235.41</v>
      </c>
      <c r="H137" s="6">
        <v>461977224</v>
      </c>
    </row>
    <row r="138" spans="1:8" ht="16" x14ac:dyDescent="0.45">
      <c r="A138" s="7">
        <v>134</v>
      </c>
      <c r="B138" s="7" t="s">
        <v>143</v>
      </c>
      <c r="C138" s="8">
        <v>4321.96</v>
      </c>
      <c r="D138" s="8">
        <v>4325.42</v>
      </c>
      <c r="E138" s="8">
        <v>4258</v>
      </c>
      <c r="F138" s="8">
        <v>4325.42</v>
      </c>
      <c r="G138" s="8">
        <v>3244.06</v>
      </c>
      <c r="H138" s="9">
        <v>827665387</v>
      </c>
    </row>
    <row r="139" spans="1:8" ht="16" x14ac:dyDescent="0.45">
      <c r="A139" s="4">
        <v>135</v>
      </c>
      <c r="B139" s="4" t="s">
        <v>144</v>
      </c>
      <c r="C139" s="5">
        <v>4365.5600000000004</v>
      </c>
      <c r="D139" s="5">
        <v>4433.37</v>
      </c>
      <c r="E139" s="5">
        <v>4335.46</v>
      </c>
      <c r="F139" s="5">
        <v>4365.1499999999996</v>
      </c>
      <c r="G139" s="5">
        <v>3273.86</v>
      </c>
      <c r="H139" s="6">
        <v>452770159</v>
      </c>
    </row>
    <row r="140" spans="1:8" ht="16" x14ac:dyDescent="0.45">
      <c r="A140" s="7">
        <v>136</v>
      </c>
      <c r="B140" s="7" t="s">
        <v>145</v>
      </c>
      <c r="C140" s="8">
        <v>4471.21</v>
      </c>
      <c r="D140" s="8">
        <v>4552.6899999999996</v>
      </c>
      <c r="E140" s="8">
        <v>4440.58</v>
      </c>
      <c r="F140" s="8">
        <v>4440.58</v>
      </c>
      <c r="G140" s="8">
        <v>3330.43</v>
      </c>
      <c r="H140" s="9">
        <v>588975791</v>
      </c>
    </row>
    <row r="141" spans="1:8" ht="16" x14ac:dyDescent="0.45">
      <c r="A141" s="4">
        <v>137</v>
      </c>
      <c r="B141" s="4" t="s">
        <v>146</v>
      </c>
      <c r="C141" s="5">
        <v>4350.22</v>
      </c>
      <c r="D141" s="5">
        <v>4361.68</v>
      </c>
      <c r="E141" s="5">
        <v>4322.88</v>
      </c>
      <c r="F141" s="5">
        <v>4324.04</v>
      </c>
      <c r="G141" s="5">
        <v>3243.03</v>
      </c>
      <c r="H141" s="6">
        <v>437230172</v>
      </c>
    </row>
    <row r="142" spans="1:8" ht="16" x14ac:dyDescent="0.45">
      <c r="A142" s="7">
        <v>138</v>
      </c>
      <c r="B142" s="7" t="s">
        <v>147</v>
      </c>
      <c r="C142" s="8">
        <v>4290.53</v>
      </c>
      <c r="D142" s="8">
        <v>4315.92</v>
      </c>
      <c r="E142" s="8">
        <v>4243.9399999999996</v>
      </c>
      <c r="F142" s="8">
        <v>4315.92</v>
      </c>
      <c r="G142" s="8">
        <v>3236.94</v>
      </c>
      <c r="H142" s="9">
        <v>479205074</v>
      </c>
    </row>
    <row r="143" spans="1:8" ht="16" x14ac:dyDescent="0.45">
      <c r="A143" s="4">
        <v>139</v>
      </c>
      <c r="B143" s="4" t="s">
        <v>148</v>
      </c>
      <c r="C143" s="5">
        <v>4329.49</v>
      </c>
      <c r="D143" s="5">
        <v>4391.9799999999996</v>
      </c>
      <c r="E143" s="5">
        <v>4288.2299999999996</v>
      </c>
      <c r="F143" s="5">
        <v>4391.9799999999996</v>
      </c>
      <c r="G143" s="5">
        <v>3293.99</v>
      </c>
      <c r="H143" s="6">
        <v>926680641</v>
      </c>
    </row>
    <row r="144" spans="1:8" ht="16" x14ac:dyDescent="0.45">
      <c r="A144" s="7">
        <v>140</v>
      </c>
      <c r="B144" s="7" t="s">
        <v>149</v>
      </c>
      <c r="C144" s="8">
        <v>4339.12</v>
      </c>
      <c r="D144" s="8">
        <v>4340.96</v>
      </c>
      <c r="E144" s="8">
        <v>4251.6899999999996</v>
      </c>
      <c r="F144" s="8">
        <v>4334.22</v>
      </c>
      <c r="G144" s="8">
        <v>3250.66</v>
      </c>
      <c r="H144" s="9">
        <v>843020655</v>
      </c>
    </row>
    <row r="145" spans="1:8" ht="16" x14ac:dyDescent="0.45">
      <c r="A145" s="4">
        <v>141</v>
      </c>
      <c r="B145" s="4" t="s">
        <v>150</v>
      </c>
      <c r="C145" s="5">
        <v>4263.6499999999996</v>
      </c>
      <c r="D145" s="5">
        <v>4344.97</v>
      </c>
      <c r="E145" s="5">
        <v>4233.25</v>
      </c>
      <c r="F145" s="5">
        <v>4270.3900000000003</v>
      </c>
      <c r="G145" s="5">
        <v>3202.79</v>
      </c>
      <c r="H145" s="6">
        <v>637256048</v>
      </c>
    </row>
    <row r="146" spans="1:8" ht="16" x14ac:dyDescent="0.45">
      <c r="A146" s="7">
        <v>142</v>
      </c>
      <c r="B146" s="7" t="s">
        <v>151</v>
      </c>
      <c r="C146" s="8">
        <v>4167.08</v>
      </c>
      <c r="D146" s="8">
        <v>4222.83</v>
      </c>
      <c r="E146" s="8">
        <v>4149.2700000000004</v>
      </c>
      <c r="F146" s="8">
        <v>4191.66</v>
      </c>
      <c r="G146" s="8">
        <v>3143.74</v>
      </c>
      <c r="H146" s="9">
        <v>606385761</v>
      </c>
    </row>
    <row r="147" spans="1:8" ht="16" x14ac:dyDescent="0.45">
      <c r="A147" s="4">
        <v>143</v>
      </c>
      <c r="B147" s="4" t="s">
        <v>152</v>
      </c>
      <c r="C147" s="5">
        <v>4191.67</v>
      </c>
      <c r="D147" s="5">
        <v>4208.33</v>
      </c>
      <c r="E147" s="5">
        <v>4153.74</v>
      </c>
      <c r="F147" s="5">
        <v>4208.33</v>
      </c>
      <c r="G147" s="5">
        <v>3156.25</v>
      </c>
      <c r="H147" s="6">
        <v>479576093</v>
      </c>
    </row>
    <row r="148" spans="1:8" ht="16" x14ac:dyDescent="0.45">
      <c r="A148" s="7">
        <v>144</v>
      </c>
      <c r="B148" s="7" t="s">
        <v>153</v>
      </c>
      <c r="C148" s="8">
        <v>4224.54</v>
      </c>
      <c r="D148" s="8">
        <v>4251.57</v>
      </c>
      <c r="E148" s="8">
        <v>4154.43</v>
      </c>
      <c r="F148" s="8">
        <v>4247.5600000000004</v>
      </c>
      <c r="G148" s="8">
        <v>3185.67</v>
      </c>
      <c r="H148" s="9">
        <v>821024183</v>
      </c>
    </row>
    <row r="149" spans="1:8" ht="16" x14ac:dyDescent="0.45">
      <c r="A149" s="4">
        <v>145</v>
      </c>
      <c r="B149" s="4" t="s">
        <v>154</v>
      </c>
      <c r="C149" s="5">
        <v>4199.09</v>
      </c>
      <c r="D149" s="5">
        <v>4285.43</v>
      </c>
      <c r="E149" s="5">
        <v>4192.1899999999996</v>
      </c>
      <c r="F149" s="5">
        <v>4285.43</v>
      </c>
      <c r="G149" s="5">
        <v>3214.07</v>
      </c>
      <c r="H149" s="6">
        <v>654344077</v>
      </c>
    </row>
    <row r="150" spans="1:8" ht="16" x14ac:dyDescent="0.45">
      <c r="A150" s="7">
        <v>146</v>
      </c>
      <c r="B150" s="7" t="s">
        <v>155</v>
      </c>
      <c r="C150" s="8">
        <v>4349.2700000000004</v>
      </c>
      <c r="D150" s="8">
        <v>4351.17</v>
      </c>
      <c r="E150" s="8">
        <v>4276.93</v>
      </c>
      <c r="F150" s="8">
        <v>4276.93</v>
      </c>
      <c r="G150" s="8">
        <v>3207.7</v>
      </c>
      <c r="H150" s="9">
        <v>272099359</v>
      </c>
    </row>
    <row r="151" spans="1:8" ht="16" x14ac:dyDescent="0.45">
      <c r="A151" s="4">
        <v>147</v>
      </c>
      <c r="B151" s="4" t="s">
        <v>156</v>
      </c>
      <c r="C151" s="5">
        <v>4192.76</v>
      </c>
      <c r="D151" s="5">
        <v>4201.0600000000004</v>
      </c>
      <c r="E151" s="5">
        <v>4169.84</v>
      </c>
      <c r="F151" s="5">
        <v>4201.0600000000004</v>
      </c>
      <c r="G151" s="5">
        <v>3150.8</v>
      </c>
      <c r="H151" s="6">
        <v>346657740</v>
      </c>
    </row>
    <row r="152" spans="1:8" ht="16" x14ac:dyDescent="0.45">
      <c r="A152" s="7">
        <v>148</v>
      </c>
      <c r="B152" s="7" t="s">
        <v>157</v>
      </c>
      <c r="C152" s="8">
        <v>4148.99</v>
      </c>
      <c r="D152" s="8">
        <v>4203.66</v>
      </c>
      <c r="E152" s="8">
        <v>4118.6499999999996</v>
      </c>
      <c r="F152" s="8">
        <v>4197.37</v>
      </c>
      <c r="G152" s="8">
        <v>3148.03</v>
      </c>
      <c r="H152" s="9">
        <v>498000892</v>
      </c>
    </row>
    <row r="153" spans="1:8" ht="16" x14ac:dyDescent="0.45">
      <c r="A153" s="4">
        <v>149</v>
      </c>
      <c r="B153" s="4" t="s">
        <v>158</v>
      </c>
      <c r="C153" s="5">
        <v>4314.41</v>
      </c>
      <c r="D153" s="5">
        <v>4374.45</v>
      </c>
      <c r="E153" s="5">
        <v>4268.5600000000004</v>
      </c>
      <c r="F153" s="5">
        <v>4270.13</v>
      </c>
      <c r="G153" s="5">
        <v>3202.59</v>
      </c>
      <c r="H153" s="6">
        <v>407406926</v>
      </c>
    </row>
    <row r="154" spans="1:8" ht="16" x14ac:dyDescent="0.45">
      <c r="A154" s="7">
        <v>150</v>
      </c>
      <c r="B154" s="7" t="s">
        <v>159</v>
      </c>
      <c r="C154" s="8">
        <v>4350.9799999999996</v>
      </c>
      <c r="D154" s="8">
        <v>4379.5600000000004</v>
      </c>
      <c r="E154" s="8">
        <v>4298.1099999999997</v>
      </c>
      <c r="F154" s="8">
        <v>4379.5600000000004</v>
      </c>
      <c r="G154" s="8">
        <v>3284.67</v>
      </c>
      <c r="H154" s="9">
        <v>335311874</v>
      </c>
    </row>
    <row r="155" spans="1:8" ht="16" x14ac:dyDescent="0.45">
      <c r="A155" s="4">
        <v>151</v>
      </c>
      <c r="B155" s="4" t="s">
        <v>160</v>
      </c>
      <c r="C155" s="5">
        <v>4413.76</v>
      </c>
      <c r="D155" s="5">
        <v>4441.1400000000003</v>
      </c>
      <c r="E155" s="5">
        <v>4359.71</v>
      </c>
      <c r="F155" s="5">
        <v>4407.7700000000004</v>
      </c>
      <c r="G155" s="5">
        <v>3305.83</v>
      </c>
      <c r="H155" s="6">
        <v>585355484</v>
      </c>
    </row>
    <row r="156" spans="1:8" ht="16" x14ac:dyDescent="0.45">
      <c r="A156" s="7">
        <v>152</v>
      </c>
      <c r="B156" s="7" t="s">
        <v>161</v>
      </c>
      <c r="C156" s="8">
        <v>4330.24</v>
      </c>
      <c r="D156" s="8">
        <v>4330.71</v>
      </c>
      <c r="E156" s="8">
        <v>4285.32</v>
      </c>
      <c r="F156" s="8">
        <v>4330.71</v>
      </c>
      <c r="G156" s="8">
        <v>3248.04</v>
      </c>
      <c r="H156" s="9">
        <v>696561201</v>
      </c>
    </row>
    <row r="157" spans="1:8" ht="16" x14ac:dyDescent="0.45">
      <c r="A157" s="4">
        <v>153</v>
      </c>
      <c r="B157" s="4" t="s">
        <v>162</v>
      </c>
      <c r="C157" s="5">
        <v>4239.12</v>
      </c>
      <c r="D157" s="5">
        <v>4289.4799999999996</v>
      </c>
      <c r="E157" s="5">
        <v>4168.66</v>
      </c>
      <c r="F157" s="5">
        <v>4168.66</v>
      </c>
      <c r="G157" s="5">
        <v>3126.49</v>
      </c>
      <c r="H157" s="6">
        <v>864879735</v>
      </c>
    </row>
    <row r="158" spans="1:8" ht="16" x14ac:dyDescent="0.45">
      <c r="A158" s="7">
        <v>154</v>
      </c>
      <c r="B158" s="7" t="s">
        <v>163</v>
      </c>
      <c r="C158" s="8">
        <v>4165.28</v>
      </c>
      <c r="D158" s="8">
        <v>4234.59</v>
      </c>
      <c r="E158" s="8">
        <v>4057.31</v>
      </c>
      <c r="F158" s="8">
        <v>4090.85</v>
      </c>
      <c r="G158" s="8">
        <v>3068.14</v>
      </c>
      <c r="H158" s="9">
        <v>624606593</v>
      </c>
    </row>
    <row r="159" spans="1:8" ht="16" x14ac:dyDescent="0.45">
      <c r="A159" s="4">
        <v>155</v>
      </c>
      <c r="B159" s="4" t="s">
        <v>164</v>
      </c>
      <c r="C159" s="5">
        <v>4151.01</v>
      </c>
      <c r="D159" s="5">
        <v>4210.8999999999996</v>
      </c>
      <c r="E159" s="5">
        <v>4119.76</v>
      </c>
      <c r="F159" s="5">
        <v>4157.6099999999997</v>
      </c>
      <c r="G159" s="5">
        <v>3118.21</v>
      </c>
      <c r="H159" s="6">
        <v>906992351</v>
      </c>
    </row>
    <row r="160" spans="1:8" ht="16" x14ac:dyDescent="0.45">
      <c r="A160" s="7">
        <v>156</v>
      </c>
      <c r="B160" s="7" t="s">
        <v>165</v>
      </c>
      <c r="C160" s="8">
        <v>4236.8599999999997</v>
      </c>
      <c r="D160" s="8">
        <v>4262.01</v>
      </c>
      <c r="E160" s="8">
        <v>4223.6099999999997</v>
      </c>
      <c r="F160" s="8">
        <v>4223.6099999999997</v>
      </c>
      <c r="G160" s="8">
        <v>3167.71</v>
      </c>
      <c r="H160" s="9">
        <v>765632526</v>
      </c>
    </row>
    <row r="161" spans="1:8" ht="16" x14ac:dyDescent="0.45">
      <c r="A161" s="4">
        <v>157</v>
      </c>
      <c r="B161" s="4" t="s">
        <v>166</v>
      </c>
      <c r="C161" s="5">
        <v>4304.3999999999996</v>
      </c>
      <c r="D161" s="5">
        <v>4357.78</v>
      </c>
      <c r="E161" s="5">
        <v>4235.47</v>
      </c>
      <c r="F161" s="5">
        <v>4276.08</v>
      </c>
      <c r="G161" s="5">
        <v>3207.06</v>
      </c>
      <c r="H161" s="6">
        <v>476521169</v>
      </c>
    </row>
    <row r="162" spans="1:8" ht="16" x14ac:dyDescent="0.45">
      <c r="A162" s="7">
        <v>158</v>
      </c>
      <c r="B162" s="7" t="s">
        <v>167</v>
      </c>
      <c r="C162" s="8">
        <v>4235.1499999999996</v>
      </c>
      <c r="D162" s="8">
        <v>4241.22</v>
      </c>
      <c r="E162" s="8">
        <v>4167.26</v>
      </c>
      <c r="F162" s="8">
        <v>4241.22</v>
      </c>
      <c r="G162" s="8">
        <v>3180.91</v>
      </c>
      <c r="H162" s="9">
        <v>293487032</v>
      </c>
    </row>
    <row r="163" spans="1:8" ht="16" x14ac:dyDescent="0.45">
      <c r="A163" s="4">
        <v>159</v>
      </c>
      <c r="B163" s="4" t="s">
        <v>168</v>
      </c>
      <c r="C163" s="5">
        <v>4175.08</v>
      </c>
      <c r="D163" s="5">
        <v>4206.93</v>
      </c>
      <c r="E163" s="5">
        <v>4144.2700000000004</v>
      </c>
      <c r="F163" s="5">
        <v>4206.93</v>
      </c>
      <c r="G163" s="5">
        <v>3155.19</v>
      </c>
      <c r="H163" s="6">
        <v>680237813</v>
      </c>
    </row>
    <row r="164" spans="1:8" ht="16" x14ac:dyDescent="0.45">
      <c r="A164" s="7">
        <v>160</v>
      </c>
      <c r="B164" s="7" t="s">
        <v>169</v>
      </c>
      <c r="C164" s="8">
        <v>4168</v>
      </c>
      <c r="D164" s="8">
        <v>4215.76</v>
      </c>
      <c r="E164" s="8">
        <v>4124.01</v>
      </c>
      <c r="F164" s="8">
        <v>4176.62</v>
      </c>
      <c r="G164" s="8">
        <v>3132.46</v>
      </c>
      <c r="H164" s="9">
        <v>402888135</v>
      </c>
    </row>
    <row r="165" spans="1:8" ht="16" x14ac:dyDescent="0.45">
      <c r="A165" s="4">
        <v>161</v>
      </c>
      <c r="B165" s="4" t="s">
        <v>170</v>
      </c>
      <c r="C165" s="5">
        <v>4052.97</v>
      </c>
      <c r="D165" s="5">
        <v>4085.26</v>
      </c>
      <c r="E165" s="5">
        <v>4051.45</v>
      </c>
      <c r="F165" s="5">
        <v>4051.45</v>
      </c>
      <c r="G165" s="5">
        <v>3038.59</v>
      </c>
      <c r="H165" s="6">
        <v>603840939</v>
      </c>
    </row>
    <row r="166" spans="1:8" ht="16" x14ac:dyDescent="0.45">
      <c r="A166" s="7">
        <v>162</v>
      </c>
      <c r="B166" s="7" t="s">
        <v>171</v>
      </c>
      <c r="C166" s="8">
        <v>4061.72</v>
      </c>
      <c r="D166" s="8">
        <v>4086.35</v>
      </c>
      <c r="E166" s="8">
        <v>4042.44</v>
      </c>
      <c r="F166" s="8">
        <v>4068.78</v>
      </c>
      <c r="G166" s="8">
        <v>3051.59</v>
      </c>
      <c r="H166" s="9">
        <v>607262747</v>
      </c>
    </row>
    <row r="167" spans="1:8" ht="16" x14ac:dyDescent="0.45">
      <c r="A167" s="4">
        <v>163</v>
      </c>
      <c r="B167" s="4" t="s">
        <v>172</v>
      </c>
      <c r="C167" s="5">
        <v>4136.6099999999997</v>
      </c>
      <c r="D167" s="5">
        <v>4177.6499999999996</v>
      </c>
      <c r="E167" s="5">
        <v>4131.8900000000003</v>
      </c>
      <c r="F167" s="5">
        <v>4177.6499999999996</v>
      </c>
      <c r="G167" s="5">
        <v>3133.24</v>
      </c>
      <c r="H167" s="6">
        <v>527164096</v>
      </c>
    </row>
    <row r="168" spans="1:8" ht="16" x14ac:dyDescent="0.45">
      <c r="A168" s="7">
        <v>164</v>
      </c>
      <c r="B168" s="7" t="s">
        <v>173</v>
      </c>
      <c r="C168" s="8">
        <v>4327.1499999999996</v>
      </c>
      <c r="D168" s="8">
        <v>4370.67</v>
      </c>
      <c r="E168" s="8">
        <v>4294.2700000000004</v>
      </c>
      <c r="F168" s="8">
        <v>4294.2700000000004</v>
      </c>
      <c r="G168" s="8">
        <v>3220.71</v>
      </c>
      <c r="H168" s="9">
        <v>788280443</v>
      </c>
    </row>
    <row r="169" spans="1:8" ht="16" x14ac:dyDescent="0.45">
      <c r="A169" s="4">
        <v>165</v>
      </c>
      <c r="B169" s="4" t="s">
        <v>174</v>
      </c>
      <c r="C169" s="5">
        <v>4324.5</v>
      </c>
      <c r="D169" s="5">
        <v>4398.7299999999996</v>
      </c>
      <c r="E169" s="5">
        <v>4301.3100000000004</v>
      </c>
      <c r="F169" s="5">
        <v>4351.6099999999997</v>
      </c>
      <c r="G169" s="5">
        <v>3263.71</v>
      </c>
      <c r="H169" s="6">
        <v>707473868</v>
      </c>
    </row>
    <row r="170" spans="1:8" ht="16" x14ac:dyDescent="0.45">
      <c r="A170" s="7">
        <v>166</v>
      </c>
      <c r="B170" s="7" t="s">
        <v>175</v>
      </c>
      <c r="C170" s="8">
        <v>4329.3599999999997</v>
      </c>
      <c r="D170" s="8">
        <v>4372.75</v>
      </c>
      <c r="E170" s="8">
        <v>4276.78</v>
      </c>
      <c r="F170" s="8">
        <v>4281.68</v>
      </c>
      <c r="G170" s="8">
        <v>3211.26</v>
      </c>
      <c r="H170" s="9">
        <v>631111737</v>
      </c>
    </row>
    <row r="171" spans="1:8" ht="16" x14ac:dyDescent="0.45">
      <c r="A171" s="4">
        <v>167</v>
      </c>
      <c r="B171" s="4" t="s">
        <v>176</v>
      </c>
      <c r="C171" s="5">
        <v>4303.3900000000003</v>
      </c>
      <c r="D171" s="5">
        <v>4326.83</v>
      </c>
      <c r="E171" s="5">
        <v>4252.51</v>
      </c>
      <c r="F171" s="5">
        <v>4326.83</v>
      </c>
      <c r="G171" s="5">
        <v>3245.12</v>
      </c>
      <c r="H171" s="6">
        <v>786237427</v>
      </c>
    </row>
    <row r="172" spans="1:8" ht="16" x14ac:dyDescent="0.45">
      <c r="A172" s="7">
        <v>168</v>
      </c>
      <c r="B172" s="7" t="s">
        <v>177</v>
      </c>
      <c r="C172" s="8">
        <v>4287.57</v>
      </c>
      <c r="D172" s="8">
        <v>4336.74</v>
      </c>
      <c r="E172" s="8">
        <v>4230.3100000000004</v>
      </c>
      <c r="F172" s="8">
        <v>4261.37</v>
      </c>
      <c r="G172" s="8">
        <v>3196.03</v>
      </c>
      <c r="H172" s="9">
        <v>854611169</v>
      </c>
    </row>
    <row r="173" spans="1:8" ht="16" x14ac:dyDescent="0.45">
      <c r="A173" s="4">
        <v>169</v>
      </c>
      <c r="B173" s="4" t="s">
        <v>178</v>
      </c>
      <c r="C173" s="5">
        <v>4154</v>
      </c>
      <c r="D173" s="5">
        <v>4163.07</v>
      </c>
      <c r="E173" s="5">
        <v>4099.42</v>
      </c>
      <c r="F173" s="5">
        <v>4163.07</v>
      </c>
      <c r="G173" s="5">
        <v>3122.3</v>
      </c>
      <c r="H173" s="6">
        <v>474465580</v>
      </c>
    </row>
    <row r="174" spans="1:8" ht="16" x14ac:dyDescent="0.45">
      <c r="A174" s="7">
        <v>170</v>
      </c>
      <c r="B174" s="7" t="s">
        <v>179</v>
      </c>
      <c r="C174" s="8">
        <v>4135.28</v>
      </c>
      <c r="D174" s="8">
        <v>4184.1000000000004</v>
      </c>
      <c r="E174" s="8">
        <v>4104.3900000000003</v>
      </c>
      <c r="F174" s="8">
        <v>4184.1000000000004</v>
      </c>
      <c r="G174" s="8">
        <v>3138.08</v>
      </c>
      <c r="H174" s="9">
        <v>549040407</v>
      </c>
    </row>
    <row r="175" spans="1:8" ht="16" x14ac:dyDescent="0.45">
      <c r="A175" s="4">
        <v>171</v>
      </c>
      <c r="B175" s="4" t="s">
        <v>180</v>
      </c>
      <c r="C175" s="5">
        <v>4165.12</v>
      </c>
      <c r="D175" s="5">
        <v>4223.12</v>
      </c>
      <c r="E175" s="5">
        <v>4129.34</v>
      </c>
      <c r="F175" s="5">
        <v>4129.34</v>
      </c>
      <c r="G175" s="5">
        <v>3097.01</v>
      </c>
      <c r="H175" s="6">
        <v>581463174</v>
      </c>
    </row>
    <row r="176" spans="1:8" ht="16" x14ac:dyDescent="0.45">
      <c r="A176" s="7">
        <v>172</v>
      </c>
      <c r="B176" s="7" t="s">
        <v>181</v>
      </c>
      <c r="C176" s="8">
        <v>4189.33</v>
      </c>
      <c r="D176" s="8">
        <v>4275.17</v>
      </c>
      <c r="E176" s="8">
        <v>4108.6899999999996</v>
      </c>
      <c r="F176" s="8">
        <v>4152.03</v>
      </c>
      <c r="G176" s="8">
        <v>3114.02</v>
      </c>
      <c r="H176" s="9">
        <v>392335713</v>
      </c>
    </row>
    <row r="177" spans="1:8" ht="16" x14ac:dyDescent="0.45">
      <c r="A177" s="4">
        <v>173</v>
      </c>
      <c r="B177" s="4" t="s">
        <v>182</v>
      </c>
      <c r="C177" s="5">
        <v>4185.34</v>
      </c>
      <c r="D177" s="5">
        <v>4194.91</v>
      </c>
      <c r="E177" s="5">
        <v>4110.41</v>
      </c>
      <c r="F177" s="5">
        <v>4110.41</v>
      </c>
      <c r="G177" s="5">
        <v>3082.81</v>
      </c>
      <c r="H177" s="6">
        <v>757013667</v>
      </c>
    </row>
    <row r="178" spans="1:8" ht="16" x14ac:dyDescent="0.45">
      <c r="A178" s="7">
        <v>174</v>
      </c>
      <c r="B178" s="7" t="s">
        <v>183</v>
      </c>
      <c r="C178" s="8">
        <v>4123.99</v>
      </c>
      <c r="D178" s="8">
        <v>4187.75</v>
      </c>
      <c r="E178" s="8">
        <v>4085.18</v>
      </c>
      <c r="F178" s="8">
        <v>4134.12</v>
      </c>
      <c r="G178" s="8">
        <v>3100.59</v>
      </c>
      <c r="H178" s="9">
        <v>890588521</v>
      </c>
    </row>
    <row r="179" spans="1:8" ht="16" x14ac:dyDescent="0.45">
      <c r="A179" s="4">
        <v>175</v>
      </c>
      <c r="B179" s="4" t="s">
        <v>184</v>
      </c>
      <c r="C179" s="5">
        <v>4161.9799999999996</v>
      </c>
      <c r="D179" s="5">
        <v>4191.01</v>
      </c>
      <c r="E179" s="5">
        <v>4130.1499999999996</v>
      </c>
      <c r="F179" s="5">
        <v>4163.95</v>
      </c>
      <c r="G179" s="5">
        <v>3122.96</v>
      </c>
      <c r="H179" s="6">
        <v>319025762</v>
      </c>
    </row>
    <row r="180" spans="1:8" ht="16" x14ac:dyDescent="0.45">
      <c r="A180" s="7">
        <v>176</v>
      </c>
      <c r="B180" s="7" t="s">
        <v>185</v>
      </c>
      <c r="C180" s="8">
        <v>4272.8999999999996</v>
      </c>
      <c r="D180" s="8">
        <v>4303.4399999999996</v>
      </c>
      <c r="E180" s="8">
        <v>4229.46</v>
      </c>
      <c r="F180" s="8">
        <v>4235.92</v>
      </c>
      <c r="G180" s="8">
        <v>3176.94</v>
      </c>
      <c r="H180" s="9">
        <v>904330775</v>
      </c>
    </row>
    <row r="181" spans="1:8" ht="16" x14ac:dyDescent="0.45">
      <c r="A181" s="4">
        <v>177</v>
      </c>
      <c r="B181" s="4" t="s">
        <v>186</v>
      </c>
      <c r="C181" s="5">
        <v>4252.24</v>
      </c>
      <c r="D181" s="5">
        <v>4270</v>
      </c>
      <c r="E181" s="5">
        <v>4243.17</v>
      </c>
      <c r="F181" s="5">
        <v>4252.09</v>
      </c>
      <c r="G181" s="5">
        <v>3189.06</v>
      </c>
      <c r="H181" s="6">
        <v>729392628</v>
      </c>
    </row>
    <row r="182" spans="1:8" ht="16" x14ac:dyDescent="0.45">
      <c r="A182" s="7">
        <v>178</v>
      </c>
      <c r="B182" s="7" t="s">
        <v>187</v>
      </c>
      <c r="C182" s="8">
        <v>4088.74</v>
      </c>
      <c r="D182" s="8">
        <v>4128.26</v>
      </c>
      <c r="E182" s="8">
        <v>4033.51</v>
      </c>
      <c r="F182" s="8">
        <v>4121.9799999999996</v>
      </c>
      <c r="G182" s="8">
        <v>3091.49</v>
      </c>
      <c r="H182" s="9">
        <v>891829572</v>
      </c>
    </row>
    <row r="183" spans="1:8" ht="16" x14ac:dyDescent="0.45">
      <c r="A183" s="4">
        <v>179</v>
      </c>
      <c r="B183" s="4" t="s">
        <v>188</v>
      </c>
      <c r="C183" s="5">
        <v>4136.1099999999997</v>
      </c>
      <c r="D183" s="5">
        <v>4206.72</v>
      </c>
      <c r="E183" s="5">
        <v>4119.97</v>
      </c>
      <c r="F183" s="5">
        <v>4119.97</v>
      </c>
      <c r="G183" s="5">
        <v>3089.98</v>
      </c>
      <c r="H183" s="6">
        <v>256399023</v>
      </c>
    </row>
    <row r="184" spans="1:8" ht="16" x14ac:dyDescent="0.45">
      <c r="A184" s="7">
        <v>180</v>
      </c>
      <c r="B184" s="7" t="s">
        <v>189</v>
      </c>
      <c r="C184" s="8">
        <v>4121.07</v>
      </c>
      <c r="D184" s="8">
        <v>4176.2299999999996</v>
      </c>
      <c r="E184" s="8">
        <v>4071.4</v>
      </c>
      <c r="F184" s="8">
        <v>4120.12</v>
      </c>
      <c r="G184" s="8">
        <v>3090.09</v>
      </c>
      <c r="H184" s="9">
        <v>636150492</v>
      </c>
    </row>
    <row r="185" spans="1:8" ht="16" x14ac:dyDescent="0.45">
      <c r="A185" s="4">
        <v>181</v>
      </c>
      <c r="B185" s="4" t="s">
        <v>190</v>
      </c>
      <c r="C185" s="5">
        <v>4227.95</v>
      </c>
      <c r="D185" s="5">
        <v>4240.04</v>
      </c>
      <c r="E185" s="5">
        <v>4169.49</v>
      </c>
      <c r="F185" s="5">
        <v>4215.25</v>
      </c>
      <c r="G185" s="5">
        <v>3161.44</v>
      </c>
      <c r="H185" s="6">
        <v>534219186</v>
      </c>
    </row>
    <row r="186" spans="1:8" ht="16" x14ac:dyDescent="0.45">
      <c r="A186" s="7">
        <v>182</v>
      </c>
      <c r="B186" s="7" t="s">
        <v>191</v>
      </c>
      <c r="C186" s="8">
        <v>4111.0600000000004</v>
      </c>
      <c r="D186" s="8">
        <v>4194.1400000000003</v>
      </c>
      <c r="E186" s="8">
        <v>4099.1400000000003</v>
      </c>
      <c r="F186" s="8">
        <v>4115.37</v>
      </c>
      <c r="G186" s="8">
        <v>3086.52</v>
      </c>
      <c r="H186" s="9">
        <v>256615120</v>
      </c>
    </row>
    <row r="187" spans="1:8" ht="16" x14ac:dyDescent="0.45">
      <c r="A187" s="4">
        <v>183</v>
      </c>
      <c r="B187" s="4" t="s">
        <v>192</v>
      </c>
      <c r="C187" s="5">
        <v>4036.46</v>
      </c>
      <c r="D187" s="5">
        <v>4063.32</v>
      </c>
      <c r="E187" s="5">
        <v>3976.58</v>
      </c>
      <c r="F187" s="5">
        <v>3976.58</v>
      </c>
      <c r="G187" s="5">
        <v>2982.43</v>
      </c>
      <c r="H187" s="6">
        <v>279786230</v>
      </c>
    </row>
    <row r="188" spans="1:8" ht="16" x14ac:dyDescent="0.45">
      <c r="A188" s="7">
        <v>184</v>
      </c>
      <c r="B188" s="7" t="s">
        <v>193</v>
      </c>
      <c r="C188" s="8">
        <v>4065.31</v>
      </c>
      <c r="D188" s="8">
        <v>4108.13</v>
      </c>
      <c r="E188" s="8">
        <v>3998.49</v>
      </c>
      <c r="F188" s="8">
        <v>4108.13</v>
      </c>
      <c r="G188" s="8">
        <v>3081.1</v>
      </c>
      <c r="H188" s="9">
        <v>528807214</v>
      </c>
    </row>
    <row r="189" spans="1:8" ht="16" x14ac:dyDescent="0.45">
      <c r="A189" s="4">
        <v>185</v>
      </c>
      <c r="B189" s="4" t="s">
        <v>194</v>
      </c>
      <c r="C189" s="5">
        <v>3979.49</v>
      </c>
      <c r="D189" s="5">
        <v>3989.96</v>
      </c>
      <c r="E189" s="5">
        <v>3920.23</v>
      </c>
      <c r="F189" s="5">
        <v>3949.38</v>
      </c>
      <c r="G189" s="5">
        <v>2962.04</v>
      </c>
      <c r="H189" s="6">
        <v>488414922</v>
      </c>
    </row>
    <row r="190" spans="1:8" ht="16" x14ac:dyDescent="0.45">
      <c r="A190" s="7">
        <v>186</v>
      </c>
      <c r="B190" s="7" t="s">
        <v>195</v>
      </c>
      <c r="C190" s="8">
        <v>3894.6</v>
      </c>
      <c r="D190" s="8">
        <v>3906.84</v>
      </c>
      <c r="E190" s="8">
        <v>3863.73</v>
      </c>
      <c r="F190" s="8">
        <v>3906.84</v>
      </c>
      <c r="G190" s="8">
        <v>2930.13</v>
      </c>
      <c r="H190" s="9">
        <v>683031123</v>
      </c>
    </row>
    <row r="191" spans="1:8" ht="16" x14ac:dyDescent="0.45">
      <c r="A191" s="4">
        <v>187</v>
      </c>
      <c r="B191" s="4" t="s">
        <v>196</v>
      </c>
      <c r="C191" s="5">
        <v>4031.6</v>
      </c>
      <c r="D191" s="5">
        <v>4096.3999999999996</v>
      </c>
      <c r="E191" s="5">
        <v>3976.56</v>
      </c>
      <c r="F191" s="5">
        <v>4008.48</v>
      </c>
      <c r="G191" s="5">
        <v>3006.36</v>
      </c>
      <c r="H191" s="6">
        <v>438836510</v>
      </c>
    </row>
    <row r="192" spans="1:8" ht="16" x14ac:dyDescent="0.45">
      <c r="A192" s="7">
        <v>188</v>
      </c>
      <c r="B192" s="7" t="s">
        <v>197</v>
      </c>
      <c r="C192" s="8">
        <v>3954.17</v>
      </c>
      <c r="D192" s="8">
        <v>3989.24</v>
      </c>
      <c r="E192" s="8">
        <v>3918.22</v>
      </c>
      <c r="F192" s="8">
        <v>3941.73</v>
      </c>
      <c r="G192" s="8">
        <v>2956.3</v>
      </c>
      <c r="H192" s="9">
        <v>668630658</v>
      </c>
    </row>
    <row r="193" spans="1:8" ht="16" x14ac:dyDescent="0.45">
      <c r="A193" s="4">
        <v>189</v>
      </c>
      <c r="B193" s="4" t="s">
        <v>198</v>
      </c>
      <c r="C193" s="5">
        <v>3907.44</v>
      </c>
      <c r="D193" s="5">
        <v>3932.86</v>
      </c>
      <c r="E193" s="5">
        <v>3863.72</v>
      </c>
      <c r="F193" s="5">
        <v>3896.75</v>
      </c>
      <c r="G193" s="5">
        <v>2922.56</v>
      </c>
      <c r="H193" s="6">
        <v>460791885</v>
      </c>
    </row>
    <row r="194" spans="1:8" ht="16" x14ac:dyDescent="0.45">
      <c r="A194" s="7">
        <v>190</v>
      </c>
      <c r="B194" s="7" t="s">
        <v>199</v>
      </c>
      <c r="C194" s="8">
        <v>3895.87</v>
      </c>
      <c r="D194" s="8">
        <v>3931.03</v>
      </c>
      <c r="E194" s="8">
        <v>3856.6</v>
      </c>
      <c r="F194" s="8">
        <v>3870.42</v>
      </c>
      <c r="G194" s="8">
        <v>2902.82</v>
      </c>
      <c r="H194" s="9">
        <v>687523581</v>
      </c>
    </row>
    <row r="195" spans="1:8" ht="16" x14ac:dyDescent="0.45">
      <c r="A195" s="4">
        <v>191</v>
      </c>
      <c r="B195" s="4" t="s">
        <v>200</v>
      </c>
      <c r="C195" s="5">
        <v>3884.43</v>
      </c>
      <c r="D195" s="5">
        <v>3900.18</v>
      </c>
      <c r="E195" s="5">
        <v>3815.6</v>
      </c>
      <c r="F195" s="5">
        <v>3900.18</v>
      </c>
      <c r="G195" s="5">
        <v>2925.14</v>
      </c>
      <c r="H195" s="6">
        <v>480679201</v>
      </c>
    </row>
    <row r="196" spans="1:8" ht="16" x14ac:dyDescent="0.45">
      <c r="A196" s="7">
        <v>192</v>
      </c>
      <c r="B196" s="7" t="s">
        <v>201</v>
      </c>
      <c r="C196" s="8">
        <v>3792.63</v>
      </c>
      <c r="D196" s="8">
        <v>3809.66</v>
      </c>
      <c r="E196" s="8">
        <v>3724.26</v>
      </c>
      <c r="F196" s="8">
        <v>3809.66</v>
      </c>
      <c r="G196" s="8">
        <v>2857.25</v>
      </c>
      <c r="H196" s="9">
        <v>653115497</v>
      </c>
    </row>
    <row r="197" spans="1:8" ht="16" x14ac:dyDescent="0.45">
      <c r="A197" s="4">
        <v>193</v>
      </c>
      <c r="B197" s="4" t="s">
        <v>202</v>
      </c>
      <c r="C197" s="5">
        <v>3760.09</v>
      </c>
      <c r="D197" s="5">
        <v>3822.45</v>
      </c>
      <c r="E197" s="5">
        <v>3758.05</v>
      </c>
      <c r="F197" s="5">
        <v>3775.76</v>
      </c>
      <c r="G197" s="5">
        <v>2831.82</v>
      </c>
      <c r="H197" s="6">
        <v>727198843</v>
      </c>
    </row>
    <row r="198" spans="1:8" ht="16" x14ac:dyDescent="0.45">
      <c r="A198" s="7">
        <v>194</v>
      </c>
      <c r="B198" s="7" t="s">
        <v>203</v>
      </c>
      <c r="C198" s="8">
        <v>3903.77</v>
      </c>
      <c r="D198" s="8">
        <v>3938.13</v>
      </c>
      <c r="E198" s="8">
        <v>3867.5</v>
      </c>
      <c r="F198" s="8">
        <v>3938.13</v>
      </c>
      <c r="G198" s="8">
        <v>2953.6</v>
      </c>
      <c r="H198" s="9">
        <v>806959785</v>
      </c>
    </row>
    <row r="199" spans="1:8" ht="16" x14ac:dyDescent="0.45">
      <c r="A199" s="4">
        <v>195</v>
      </c>
      <c r="B199" s="4" t="s">
        <v>204</v>
      </c>
      <c r="C199" s="5">
        <v>3916.34</v>
      </c>
      <c r="D199" s="5">
        <v>3963.88</v>
      </c>
      <c r="E199" s="5">
        <v>3852.44</v>
      </c>
      <c r="F199" s="5">
        <v>3940.44</v>
      </c>
      <c r="G199" s="5">
        <v>2955.33</v>
      </c>
      <c r="H199" s="6">
        <v>943490430</v>
      </c>
    </row>
    <row r="200" spans="1:8" ht="16" x14ac:dyDescent="0.45">
      <c r="A200" s="7">
        <v>196</v>
      </c>
      <c r="B200" s="7" t="s">
        <v>205</v>
      </c>
      <c r="C200" s="8">
        <v>3936.28</v>
      </c>
      <c r="D200" s="8">
        <v>3979.84</v>
      </c>
      <c r="E200" s="8">
        <v>3878.26</v>
      </c>
      <c r="F200" s="8">
        <v>3971.32</v>
      </c>
      <c r="G200" s="8">
        <v>2978.49</v>
      </c>
      <c r="H200" s="9">
        <v>876851060</v>
      </c>
    </row>
    <row r="201" spans="1:8" ht="16" x14ac:dyDescent="0.45">
      <c r="A201" s="4">
        <v>197</v>
      </c>
      <c r="B201" s="4" t="s">
        <v>206</v>
      </c>
      <c r="C201" s="5">
        <v>3983.57</v>
      </c>
      <c r="D201" s="5">
        <v>4034.05</v>
      </c>
      <c r="E201" s="5">
        <v>3936.97</v>
      </c>
      <c r="F201" s="5">
        <v>3952.23</v>
      </c>
      <c r="G201" s="5">
        <v>2964.17</v>
      </c>
      <c r="H201" s="6">
        <v>926001744</v>
      </c>
    </row>
    <row r="202" spans="1:8" ht="16" x14ac:dyDescent="0.45">
      <c r="A202" s="7">
        <v>198</v>
      </c>
      <c r="B202" s="7" t="s">
        <v>207</v>
      </c>
      <c r="C202" s="8">
        <v>3943.79</v>
      </c>
      <c r="D202" s="8">
        <v>3962.65</v>
      </c>
      <c r="E202" s="8">
        <v>3901.87</v>
      </c>
      <c r="F202" s="8">
        <v>3954.27</v>
      </c>
      <c r="G202" s="8">
        <v>2965.7</v>
      </c>
      <c r="H202" s="9">
        <v>523793918</v>
      </c>
    </row>
    <row r="203" spans="1:8" ht="16" x14ac:dyDescent="0.45">
      <c r="A203" s="4">
        <v>199</v>
      </c>
      <c r="B203" s="4" t="s">
        <v>208</v>
      </c>
      <c r="C203" s="5">
        <v>4033.77</v>
      </c>
      <c r="D203" s="5">
        <v>4073.8</v>
      </c>
      <c r="E203" s="5">
        <v>4016.1</v>
      </c>
      <c r="F203" s="5">
        <v>4029.42</v>
      </c>
      <c r="G203" s="5">
        <v>3022.06</v>
      </c>
      <c r="H203" s="6">
        <v>588048199</v>
      </c>
    </row>
    <row r="204" spans="1:8" ht="16" x14ac:dyDescent="0.45">
      <c r="A204" s="7">
        <v>200</v>
      </c>
      <c r="B204" s="7" t="s">
        <v>209</v>
      </c>
      <c r="C204" s="8">
        <v>4024.32</v>
      </c>
      <c r="D204" s="8">
        <v>4076.71</v>
      </c>
      <c r="E204" s="8">
        <v>4019.19</v>
      </c>
      <c r="F204" s="8">
        <v>4059.7</v>
      </c>
      <c r="G204" s="8">
        <v>3044.78</v>
      </c>
      <c r="H204" s="9">
        <v>365047864</v>
      </c>
    </row>
    <row r="205" spans="1:8" ht="16" x14ac:dyDescent="0.45">
      <c r="A205" s="4">
        <v>201</v>
      </c>
      <c r="B205" s="4" t="s">
        <v>210</v>
      </c>
      <c r="C205" s="5">
        <v>4013.16</v>
      </c>
      <c r="D205" s="5">
        <v>4114.95</v>
      </c>
      <c r="E205" s="5">
        <v>3992.49</v>
      </c>
      <c r="F205" s="5">
        <v>3992.49</v>
      </c>
      <c r="G205" s="5">
        <v>2994.36</v>
      </c>
      <c r="H205" s="6">
        <v>552494116</v>
      </c>
    </row>
    <row r="206" spans="1:8" ht="16" x14ac:dyDescent="0.45">
      <c r="A206" s="7">
        <v>202</v>
      </c>
      <c r="B206" s="7" t="s">
        <v>211</v>
      </c>
      <c r="C206" s="8">
        <v>3903.35</v>
      </c>
      <c r="D206" s="8">
        <v>3927.21</v>
      </c>
      <c r="E206" s="8">
        <v>3892.41</v>
      </c>
      <c r="F206" s="8">
        <v>3892.41</v>
      </c>
      <c r="G206" s="8">
        <v>2919.31</v>
      </c>
      <c r="H206" s="9">
        <v>570285295</v>
      </c>
    </row>
    <row r="207" spans="1:8" ht="16" x14ac:dyDescent="0.45">
      <c r="A207" s="4">
        <v>203</v>
      </c>
      <c r="B207" s="4" t="s">
        <v>212</v>
      </c>
      <c r="C207" s="5">
        <v>3901.63</v>
      </c>
      <c r="D207" s="5">
        <v>3952.33</v>
      </c>
      <c r="E207" s="5">
        <v>3855.91</v>
      </c>
      <c r="F207" s="5">
        <v>3952.33</v>
      </c>
      <c r="G207" s="5">
        <v>2964.25</v>
      </c>
      <c r="H207" s="6">
        <v>819616777</v>
      </c>
    </row>
    <row r="208" spans="1:8" ht="16" x14ac:dyDescent="0.45">
      <c r="A208" s="7">
        <v>204</v>
      </c>
      <c r="B208" s="7" t="s">
        <v>213</v>
      </c>
      <c r="C208" s="8">
        <v>3987.54</v>
      </c>
      <c r="D208" s="8">
        <v>4032.9</v>
      </c>
      <c r="E208" s="8">
        <v>3957.76</v>
      </c>
      <c r="F208" s="8">
        <v>4018.07</v>
      </c>
      <c r="G208" s="8">
        <v>3013.55</v>
      </c>
      <c r="H208" s="9">
        <v>542767374</v>
      </c>
    </row>
    <row r="209" spans="1:8" ht="16" x14ac:dyDescent="0.45">
      <c r="A209" s="4">
        <v>205</v>
      </c>
      <c r="B209" s="4" t="s">
        <v>214</v>
      </c>
      <c r="C209" s="5">
        <v>3947.5</v>
      </c>
      <c r="D209" s="5">
        <v>3950.53</v>
      </c>
      <c r="E209" s="5">
        <v>3884.12</v>
      </c>
      <c r="F209" s="5">
        <v>3946.57</v>
      </c>
      <c r="G209" s="5">
        <v>2959.93</v>
      </c>
      <c r="H209" s="6">
        <v>470206010</v>
      </c>
    </row>
    <row r="210" spans="1:8" ht="16" x14ac:dyDescent="0.45">
      <c r="A210" s="7">
        <v>206</v>
      </c>
      <c r="B210" s="7" t="s">
        <v>215</v>
      </c>
      <c r="C210" s="8">
        <v>3940.36</v>
      </c>
      <c r="D210" s="8">
        <v>4020.58</v>
      </c>
      <c r="E210" s="8">
        <v>3901.04</v>
      </c>
      <c r="F210" s="8">
        <v>3901.04</v>
      </c>
      <c r="G210" s="8">
        <v>2925.78</v>
      </c>
      <c r="H210" s="9">
        <v>592089658</v>
      </c>
    </row>
    <row r="211" spans="1:8" ht="16" x14ac:dyDescent="0.45">
      <c r="A211" s="4">
        <v>207</v>
      </c>
      <c r="B211" s="4" t="s">
        <v>216</v>
      </c>
      <c r="C211" s="5">
        <v>3945.32</v>
      </c>
      <c r="D211" s="5">
        <v>3964.44</v>
      </c>
      <c r="E211" s="5">
        <v>3931.55</v>
      </c>
      <c r="F211" s="5">
        <v>3964.44</v>
      </c>
      <c r="G211" s="5">
        <v>2973.33</v>
      </c>
      <c r="H211" s="6">
        <v>634808329</v>
      </c>
    </row>
    <row r="212" spans="1:8" ht="16" x14ac:dyDescent="0.45">
      <c r="A212" s="7">
        <v>208</v>
      </c>
      <c r="B212" s="7" t="s">
        <v>217</v>
      </c>
      <c r="C212" s="8">
        <v>3874.31</v>
      </c>
      <c r="D212" s="8">
        <v>3929.66</v>
      </c>
      <c r="E212" s="8">
        <v>3869.75</v>
      </c>
      <c r="F212" s="8">
        <v>3902.2</v>
      </c>
      <c r="G212" s="8">
        <v>2926.65</v>
      </c>
      <c r="H212" s="9">
        <v>817491901</v>
      </c>
    </row>
    <row r="213" spans="1:8" ht="16" x14ac:dyDescent="0.45">
      <c r="A213" s="4">
        <v>209</v>
      </c>
      <c r="B213" s="4" t="s">
        <v>218</v>
      </c>
      <c r="C213" s="5">
        <v>3918.46</v>
      </c>
      <c r="D213" s="5">
        <v>3983.07</v>
      </c>
      <c r="E213" s="5">
        <v>3895.1</v>
      </c>
      <c r="F213" s="5">
        <v>3895.1</v>
      </c>
      <c r="G213" s="5">
        <v>2921.32</v>
      </c>
      <c r="H213" s="6">
        <v>291550483</v>
      </c>
    </row>
    <row r="214" spans="1:8" ht="16" x14ac:dyDescent="0.45">
      <c r="A214" s="7">
        <v>210</v>
      </c>
      <c r="B214" s="7" t="s">
        <v>219</v>
      </c>
      <c r="C214" s="8">
        <v>3870.18</v>
      </c>
      <c r="D214" s="8">
        <v>3912.64</v>
      </c>
      <c r="E214" s="8">
        <v>3817.86</v>
      </c>
      <c r="F214" s="8">
        <v>3817.86</v>
      </c>
      <c r="G214" s="8">
        <v>2863.4</v>
      </c>
      <c r="H214" s="9">
        <v>829937261</v>
      </c>
    </row>
    <row r="215" spans="1:8" ht="16" x14ac:dyDescent="0.45">
      <c r="A215" s="4">
        <v>211</v>
      </c>
      <c r="B215" s="4" t="s">
        <v>220</v>
      </c>
      <c r="C215" s="5">
        <v>3914.85</v>
      </c>
      <c r="D215" s="5">
        <v>3953.78</v>
      </c>
      <c r="E215" s="5">
        <v>3891.78</v>
      </c>
      <c r="F215" s="5">
        <v>3904.73</v>
      </c>
      <c r="G215" s="5">
        <v>2928.55</v>
      </c>
      <c r="H215" s="6">
        <v>866087556</v>
      </c>
    </row>
    <row r="216" spans="1:8" ht="16" x14ac:dyDescent="0.45">
      <c r="A216" s="7">
        <v>212</v>
      </c>
      <c r="B216" s="7" t="s">
        <v>221</v>
      </c>
      <c r="C216" s="8">
        <v>3803.85</v>
      </c>
      <c r="D216" s="8">
        <v>3887.84</v>
      </c>
      <c r="E216" s="8">
        <v>3745.56</v>
      </c>
      <c r="F216" s="8">
        <v>3823.6</v>
      </c>
      <c r="G216" s="8">
        <v>2867.7</v>
      </c>
      <c r="H216" s="9">
        <v>294331480</v>
      </c>
    </row>
    <row r="217" spans="1:8" ht="16" x14ac:dyDescent="0.45">
      <c r="A217" s="4">
        <v>213</v>
      </c>
      <c r="B217" s="4" t="s">
        <v>222</v>
      </c>
      <c r="C217" s="5">
        <v>3828.88</v>
      </c>
      <c r="D217" s="5">
        <v>3865.05</v>
      </c>
      <c r="E217" s="5">
        <v>3811.05</v>
      </c>
      <c r="F217" s="5">
        <v>3811.05</v>
      </c>
      <c r="G217" s="5">
        <v>2858.29</v>
      </c>
      <c r="H217" s="6">
        <v>646299477</v>
      </c>
    </row>
    <row r="218" spans="1:8" ht="16" x14ac:dyDescent="0.45">
      <c r="A218" s="7">
        <v>214</v>
      </c>
      <c r="B218" s="7" t="s">
        <v>223</v>
      </c>
      <c r="C218" s="8">
        <v>3808.37</v>
      </c>
      <c r="D218" s="8">
        <v>3856.6</v>
      </c>
      <c r="E218" s="8">
        <v>3770.35</v>
      </c>
      <c r="F218" s="8">
        <v>3856.6</v>
      </c>
      <c r="G218" s="8">
        <v>2892.45</v>
      </c>
      <c r="H218" s="9">
        <v>250473152</v>
      </c>
    </row>
    <row r="219" spans="1:8" ht="16" x14ac:dyDescent="0.45">
      <c r="A219" s="4">
        <v>215</v>
      </c>
      <c r="B219" s="4" t="s">
        <v>224</v>
      </c>
      <c r="C219" s="5">
        <v>3882.69</v>
      </c>
      <c r="D219" s="5">
        <v>3930.33</v>
      </c>
      <c r="E219" s="5">
        <v>3817.12</v>
      </c>
      <c r="F219" s="5">
        <v>3898.61</v>
      </c>
      <c r="G219" s="5">
        <v>2923.95</v>
      </c>
      <c r="H219" s="6">
        <v>510290637</v>
      </c>
    </row>
    <row r="220" spans="1:8" ht="16" x14ac:dyDescent="0.45">
      <c r="A220" s="7">
        <v>216</v>
      </c>
      <c r="B220" s="7" t="s">
        <v>225</v>
      </c>
      <c r="C220" s="8">
        <v>3956.72</v>
      </c>
      <c r="D220" s="8">
        <v>3990.31</v>
      </c>
      <c r="E220" s="8">
        <v>3905.55</v>
      </c>
      <c r="F220" s="8">
        <v>3990.31</v>
      </c>
      <c r="G220" s="8">
        <v>2992.74</v>
      </c>
      <c r="H220" s="9">
        <v>250760412</v>
      </c>
    </row>
    <row r="221" spans="1:8" ht="16" x14ac:dyDescent="0.45">
      <c r="A221" s="4">
        <v>217</v>
      </c>
      <c r="B221" s="4" t="s">
        <v>226</v>
      </c>
      <c r="C221" s="5">
        <v>3987.1</v>
      </c>
      <c r="D221" s="5">
        <v>3990.41</v>
      </c>
      <c r="E221" s="5">
        <v>3950.94</v>
      </c>
      <c r="F221" s="5">
        <v>3950.94</v>
      </c>
      <c r="G221" s="5">
        <v>2963.21</v>
      </c>
      <c r="H221" s="6">
        <v>761534367</v>
      </c>
    </row>
    <row r="222" spans="1:8" ht="16" x14ac:dyDescent="0.45">
      <c r="A222" s="7">
        <v>218</v>
      </c>
      <c r="B222" s="7" t="s">
        <v>227</v>
      </c>
      <c r="C222" s="8">
        <v>3881.41</v>
      </c>
      <c r="D222" s="8">
        <v>3940.35</v>
      </c>
      <c r="E222" s="8">
        <v>3793.9</v>
      </c>
      <c r="F222" s="8">
        <v>3822.69</v>
      </c>
      <c r="G222" s="8">
        <v>2867.01</v>
      </c>
      <c r="H222" s="9">
        <v>255932319</v>
      </c>
    </row>
    <row r="223" spans="1:8" ht="16" x14ac:dyDescent="0.45">
      <c r="A223" s="4">
        <v>219</v>
      </c>
      <c r="B223" s="4" t="s">
        <v>228</v>
      </c>
      <c r="C223" s="5">
        <v>3854.86</v>
      </c>
      <c r="D223" s="5">
        <v>3920.51</v>
      </c>
      <c r="E223" s="5">
        <v>3840.28</v>
      </c>
      <c r="F223" s="5">
        <v>3920.51</v>
      </c>
      <c r="G223" s="5">
        <v>2940.38</v>
      </c>
      <c r="H223" s="6">
        <v>310681623</v>
      </c>
    </row>
    <row r="224" spans="1:8" ht="16" x14ac:dyDescent="0.45">
      <c r="A224" s="7">
        <v>220</v>
      </c>
      <c r="B224" s="7" t="s">
        <v>229</v>
      </c>
      <c r="C224" s="8">
        <v>3937.97</v>
      </c>
      <c r="D224" s="8">
        <v>4006.96</v>
      </c>
      <c r="E224" s="8">
        <v>3919.34</v>
      </c>
      <c r="F224" s="8">
        <v>3919.34</v>
      </c>
      <c r="G224" s="8">
        <v>2939.5</v>
      </c>
      <c r="H224" s="9">
        <v>670005507</v>
      </c>
    </row>
    <row r="225" spans="1:8" ht="16" x14ac:dyDescent="0.45">
      <c r="A225" s="4">
        <v>221</v>
      </c>
      <c r="B225" s="4" t="s">
        <v>230</v>
      </c>
      <c r="C225" s="5">
        <v>3977.79</v>
      </c>
      <c r="D225" s="5">
        <v>4071.5</v>
      </c>
      <c r="E225" s="5">
        <v>3928.07</v>
      </c>
      <c r="F225" s="5">
        <v>3980.59</v>
      </c>
      <c r="G225" s="5">
        <v>2985.44</v>
      </c>
      <c r="H225" s="6">
        <v>773490548</v>
      </c>
    </row>
    <row r="226" spans="1:8" ht="16" x14ac:dyDescent="0.45">
      <c r="A226" s="7">
        <v>222</v>
      </c>
      <c r="B226" s="7" t="s">
        <v>231</v>
      </c>
      <c r="C226" s="8">
        <v>3954.62</v>
      </c>
      <c r="D226" s="8">
        <v>3994.37</v>
      </c>
      <c r="E226" s="8">
        <v>3914.66</v>
      </c>
      <c r="F226" s="8">
        <v>3994.37</v>
      </c>
      <c r="G226" s="8">
        <v>2995.78</v>
      </c>
      <c r="H226" s="9">
        <v>940817772</v>
      </c>
    </row>
    <row r="227" spans="1:8" ht="16" x14ac:dyDescent="0.45">
      <c r="A227" s="4">
        <v>223</v>
      </c>
      <c r="B227" s="4" t="s">
        <v>232</v>
      </c>
      <c r="C227" s="5">
        <v>4094.76</v>
      </c>
      <c r="D227" s="5">
        <v>4116.55</v>
      </c>
      <c r="E227" s="5">
        <v>4079.9</v>
      </c>
      <c r="F227" s="5">
        <v>4116.55</v>
      </c>
      <c r="G227" s="5">
        <v>3087.41</v>
      </c>
      <c r="H227" s="6">
        <v>689999487</v>
      </c>
    </row>
    <row r="228" spans="1:8" ht="16" x14ac:dyDescent="0.45">
      <c r="A228" s="7">
        <v>224</v>
      </c>
      <c r="B228" s="7" t="s">
        <v>233</v>
      </c>
      <c r="C228" s="8">
        <v>4116.7700000000004</v>
      </c>
      <c r="D228" s="8">
        <v>4166.2</v>
      </c>
      <c r="E228" s="8">
        <v>4072.68</v>
      </c>
      <c r="F228" s="8">
        <v>4091.87</v>
      </c>
      <c r="G228" s="8">
        <v>3068.91</v>
      </c>
      <c r="H228" s="9">
        <v>607913288</v>
      </c>
    </row>
    <row r="229" spans="1:8" ht="16" x14ac:dyDescent="0.45">
      <c r="A229" s="4">
        <v>225</v>
      </c>
      <c r="B229" s="4" t="s">
        <v>234</v>
      </c>
      <c r="C229" s="5">
        <v>4099.05</v>
      </c>
      <c r="D229" s="5">
        <v>4173.8500000000004</v>
      </c>
      <c r="E229" s="5">
        <v>4050.73</v>
      </c>
      <c r="F229" s="5">
        <v>4155.84</v>
      </c>
      <c r="G229" s="5">
        <v>3116.88</v>
      </c>
      <c r="H229" s="6">
        <v>842527680</v>
      </c>
    </row>
    <row r="230" spans="1:8" ht="16" x14ac:dyDescent="0.45">
      <c r="A230" s="7">
        <v>226</v>
      </c>
      <c r="B230" s="7" t="s">
        <v>235</v>
      </c>
      <c r="C230" s="8">
        <v>4141.45</v>
      </c>
      <c r="D230" s="8">
        <v>4188.21</v>
      </c>
      <c r="E230" s="8">
        <v>4061.48</v>
      </c>
      <c r="F230" s="8">
        <v>4160.05</v>
      </c>
      <c r="G230" s="8">
        <v>3120.04</v>
      </c>
      <c r="H230" s="9">
        <v>917111341</v>
      </c>
    </row>
    <row r="231" spans="1:8" ht="16" x14ac:dyDescent="0.45">
      <c r="A231" s="4">
        <v>227</v>
      </c>
      <c r="B231" s="4" t="s">
        <v>236</v>
      </c>
      <c r="C231" s="5">
        <v>4172.78</v>
      </c>
      <c r="D231" s="5">
        <v>4224.1499999999996</v>
      </c>
      <c r="E231" s="5">
        <v>4114.6899999999996</v>
      </c>
      <c r="F231" s="5">
        <v>4179.2</v>
      </c>
      <c r="G231" s="5">
        <v>3134.4</v>
      </c>
      <c r="H231" s="6">
        <v>568638444</v>
      </c>
    </row>
    <row r="232" spans="1:8" ht="16" x14ac:dyDescent="0.45">
      <c r="A232" s="7">
        <v>228</v>
      </c>
      <c r="B232" s="7" t="s">
        <v>237</v>
      </c>
      <c r="C232" s="8">
        <v>4145.63</v>
      </c>
      <c r="D232" s="8">
        <v>4190.16</v>
      </c>
      <c r="E232" s="8">
        <v>4117.33</v>
      </c>
      <c r="F232" s="8">
        <v>4166.21</v>
      </c>
      <c r="G232" s="8">
        <v>3124.66</v>
      </c>
      <c r="H232" s="9">
        <v>409883096</v>
      </c>
    </row>
    <row r="233" spans="1:8" ht="16" x14ac:dyDescent="0.45">
      <c r="A233" s="4">
        <v>229</v>
      </c>
      <c r="B233" s="4" t="s">
        <v>238</v>
      </c>
      <c r="C233" s="5">
        <v>4167.32</v>
      </c>
      <c r="D233" s="5">
        <v>4227.92</v>
      </c>
      <c r="E233" s="5">
        <v>4129.28</v>
      </c>
      <c r="F233" s="5">
        <v>4227.92</v>
      </c>
      <c r="G233" s="5">
        <v>3170.94</v>
      </c>
      <c r="H233" s="6">
        <v>889763368</v>
      </c>
    </row>
    <row r="234" spans="1:8" ht="16" x14ac:dyDescent="0.45">
      <c r="A234" s="7">
        <v>230</v>
      </c>
      <c r="B234" s="7" t="s">
        <v>239</v>
      </c>
      <c r="C234" s="8">
        <v>4277.7</v>
      </c>
      <c r="D234" s="8">
        <v>4304.6000000000004</v>
      </c>
      <c r="E234" s="8">
        <v>4224.7299999999996</v>
      </c>
      <c r="F234" s="8">
        <v>4225.74</v>
      </c>
      <c r="G234" s="8">
        <v>3169.31</v>
      </c>
      <c r="H234" s="9">
        <v>601428659</v>
      </c>
    </row>
    <row r="235" spans="1:8" ht="16" x14ac:dyDescent="0.45">
      <c r="A235" s="4">
        <v>231</v>
      </c>
      <c r="B235" s="4" t="s">
        <v>240</v>
      </c>
      <c r="C235" s="5">
        <v>4284.5600000000004</v>
      </c>
      <c r="D235" s="5">
        <v>4322.47</v>
      </c>
      <c r="E235" s="5">
        <v>4222.57</v>
      </c>
      <c r="F235" s="5">
        <v>4288.6899999999996</v>
      </c>
      <c r="G235" s="5">
        <v>3216.52</v>
      </c>
      <c r="H235" s="6">
        <v>390469807</v>
      </c>
    </row>
    <row r="236" spans="1:8" ht="16" x14ac:dyDescent="0.45">
      <c r="A236" s="7">
        <v>232</v>
      </c>
      <c r="B236" s="7" t="s">
        <v>241</v>
      </c>
      <c r="C236" s="8">
        <v>4299.7</v>
      </c>
      <c r="D236" s="8">
        <v>4349.51</v>
      </c>
      <c r="E236" s="8">
        <v>4251.93</v>
      </c>
      <c r="F236" s="8">
        <v>4325.8500000000004</v>
      </c>
      <c r="G236" s="8">
        <v>3244.39</v>
      </c>
      <c r="H236" s="9">
        <v>880310308</v>
      </c>
    </row>
    <row r="237" spans="1:8" ht="16" x14ac:dyDescent="0.45">
      <c r="A237" s="4">
        <v>233</v>
      </c>
      <c r="B237" s="4" t="s">
        <v>242</v>
      </c>
      <c r="C237" s="5">
        <v>4367.29</v>
      </c>
      <c r="D237" s="5">
        <v>4371.41</v>
      </c>
      <c r="E237" s="5">
        <v>4344.8100000000004</v>
      </c>
      <c r="F237" s="5">
        <v>4371.41</v>
      </c>
      <c r="G237" s="5">
        <v>3278.56</v>
      </c>
      <c r="H237" s="6">
        <v>759050527</v>
      </c>
    </row>
    <row r="238" spans="1:8" ht="16" x14ac:dyDescent="0.45">
      <c r="A238" s="7">
        <v>234</v>
      </c>
      <c r="B238" s="7" t="s">
        <v>243</v>
      </c>
      <c r="C238" s="8">
        <v>4270.25</v>
      </c>
      <c r="D238" s="8">
        <v>4288.1499999999996</v>
      </c>
      <c r="E238" s="8">
        <v>4220.25</v>
      </c>
      <c r="F238" s="8">
        <v>4275.3500000000004</v>
      </c>
      <c r="G238" s="8">
        <v>3206.52</v>
      </c>
      <c r="H238" s="9">
        <v>510744381</v>
      </c>
    </row>
    <row r="239" spans="1:8" ht="16" x14ac:dyDescent="0.45">
      <c r="A239" s="4">
        <v>235</v>
      </c>
      <c r="B239" s="4" t="s">
        <v>244</v>
      </c>
      <c r="C239" s="5">
        <v>4289.7700000000004</v>
      </c>
      <c r="D239" s="5">
        <v>4314.8</v>
      </c>
      <c r="E239" s="5">
        <v>4206.66</v>
      </c>
      <c r="F239" s="5">
        <v>4314.8</v>
      </c>
      <c r="G239" s="5">
        <v>3236.1</v>
      </c>
      <c r="H239" s="6">
        <v>440369110</v>
      </c>
    </row>
    <row r="240" spans="1:8" ht="16" x14ac:dyDescent="0.45">
      <c r="A240" s="7">
        <v>236</v>
      </c>
      <c r="B240" s="7" t="s">
        <v>245</v>
      </c>
      <c r="C240" s="8">
        <v>4250.74</v>
      </c>
      <c r="D240" s="8">
        <v>4319.6499999999996</v>
      </c>
      <c r="E240" s="8">
        <v>4228.43</v>
      </c>
      <c r="F240" s="8">
        <v>4246.33</v>
      </c>
      <c r="G240" s="8">
        <v>3184.75</v>
      </c>
      <c r="H240" s="9">
        <v>625147184</v>
      </c>
    </row>
    <row r="241" spans="1:8" ht="16" x14ac:dyDescent="0.45">
      <c r="A241" s="4">
        <v>237</v>
      </c>
      <c r="B241" s="4" t="s">
        <v>246</v>
      </c>
      <c r="C241" s="5">
        <v>4215.01</v>
      </c>
      <c r="D241" s="5">
        <v>4235.66</v>
      </c>
      <c r="E241" s="5">
        <v>4129.05</v>
      </c>
      <c r="F241" s="5">
        <v>4230.8500000000004</v>
      </c>
      <c r="G241" s="5">
        <v>3173.13</v>
      </c>
      <c r="H241" s="6">
        <v>835147325</v>
      </c>
    </row>
    <row r="242" spans="1:8" ht="16" x14ac:dyDescent="0.45">
      <c r="A242" s="7">
        <v>238</v>
      </c>
      <c r="B242" s="7" t="s">
        <v>247</v>
      </c>
      <c r="C242" s="8">
        <v>4208.09</v>
      </c>
      <c r="D242" s="8">
        <v>4231.33</v>
      </c>
      <c r="E242" s="8">
        <v>4166.3</v>
      </c>
      <c r="F242" s="8">
        <v>4166.3</v>
      </c>
      <c r="G242" s="8">
        <v>3124.73</v>
      </c>
      <c r="H242" s="9">
        <v>566540818</v>
      </c>
    </row>
    <row r="243" spans="1:8" ht="16" x14ac:dyDescent="0.45">
      <c r="A243" s="4">
        <v>239</v>
      </c>
      <c r="B243" s="4" t="s">
        <v>248</v>
      </c>
      <c r="C243" s="5">
        <v>4206.0200000000004</v>
      </c>
      <c r="D243" s="5">
        <v>4237.71</v>
      </c>
      <c r="E243" s="5">
        <v>4180.84</v>
      </c>
      <c r="F243" s="5">
        <v>4232.76</v>
      </c>
      <c r="G243" s="5">
        <v>3174.57</v>
      </c>
      <c r="H243" s="6">
        <v>431174456</v>
      </c>
    </row>
    <row r="244" spans="1:8" ht="16" x14ac:dyDescent="0.45">
      <c r="A244" s="7">
        <v>240</v>
      </c>
      <c r="B244" s="7" t="s">
        <v>249</v>
      </c>
      <c r="C244" s="8">
        <v>4224.96</v>
      </c>
      <c r="D244" s="8">
        <v>4257.41</v>
      </c>
      <c r="E244" s="8">
        <v>4186.97</v>
      </c>
      <c r="F244" s="8">
        <v>4256.95</v>
      </c>
      <c r="G244" s="8">
        <v>3192.71</v>
      </c>
      <c r="H244" s="9">
        <v>526499081</v>
      </c>
    </row>
    <row r="245" spans="1:8" ht="16" x14ac:dyDescent="0.45">
      <c r="A245" s="4">
        <v>241</v>
      </c>
      <c r="B245" s="4" t="s">
        <v>250</v>
      </c>
      <c r="C245" s="5">
        <v>4206.91</v>
      </c>
      <c r="D245" s="5">
        <v>4228.28</v>
      </c>
      <c r="E245" s="5">
        <v>4160.1400000000003</v>
      </c>
      <c r="F245" s="5">
        <v>4180.01</v>
      </c>
      <c r="G245" s="5">
        <v>3135.01</v>
      </c>
      <c r="H245" s="6">
        <v>635482065</v>
      </c>
    </row>
    <row r="246" spans="1:8" ht="16" x14ac:dyDescent="0.45">
      <c r="A246" s="7">
        <v>242</v>
      </c>
      <c r="B246" s="7" t="s">
        <v>251</v>
      </c>
      <c r="C246" s="8">
        <v>4106.8100000000004</v>
      </c>
      <c r="D246" s="8">
        <v>4127.38</v>
      </c>
      <c r="E246" s="8">
        <v>4032.02</v>
      </c>
      <c r="F246" s="8">
        <v>4127.38</v>
      </c>
      <c r="G246" s="8">
        <v>3095.53</v>
      </c>
      <c r="H246" s="9">
        <v>806392371</v>
      </c>
    </row>
    <row r="247" spans="1:8" ht="16" x14ac:dyDescent="0.45">
      <c r="A247" s="4">
        <v>243</v>
      </c>
      <c r="B247" s="4" t="s">
        <v>252</v>
      </c>
      <c r="C247" s="5">
        <v>4090.23</v>
      </c>
      <c r="D247" s="5">
        <v>4122.71</v>
      </c>
      <c r="E247" s="5">
        <v>4050.06</v>
      </c>
      <c r="F247" s="5">
        <v>4053.94</v>
      </c>
      <c r="G247" s="5">
        <v>3040.46</v>
      </c>
      <c r="H247" s="6">
        <v>403314131</v>
      </c>
    </row>
    <row r="248" spans="1:8" ht="16" x14ac:dyDescent="0.45">
      <c r="A248" s="7">
        <v>244</v>
      </c>
      <c r="B248" s="7" t="s">
        <v>253</v>
      </c>
      <c r="C248" s="8">
        <v>4069.1</v>
      </c>
      <c r="D248" s="8">
        <v>4079.08</v>
      </c>
      <c r="E248" s="8">
        <v>4054.6</v>
      </c>
      <c r="F248" s="8">
        <v>4054.6</v>
      </c>
      <c r="G248" s="8">
        <v>3040.95</v>
      </c>
      <c r="H248" s="9">
        <v>841654631</v>
      </c>
    </row>
    <row r="249" spans="1:8" ht="16" x14ac:dyDescent="0.45">
      <c r="A249" s="4">
        <v>245</v>
      </c>
      <c r="B249" s="4" t="s">
        <v>254</v>
      </c>
      <c r="C249" s="5">
        <v>3959.14</v>
      </c>
      <c r="D249" s="5">
        <v>4042.57</v>
      </c>
      <c r="E249" s="5">
        <v>3912.9</v>
      </c>
      <c r="F249" s="5">
        <v>4017.16</v>
      </c>
      <c r="G249" s="5">
        <v>3012.87</v>
      </c>
      <c r="H249" s="6">
        <v>466337150</v>
      </c>
    </row>
    <row r="250" spans="1:8" ht="16" x14ac:dyDescent="0.45">
      <c r="A250" s="7">
        <v>246</v>
      </c>
      <c r="B250" s="7" t="s">
        <v>255</v>
      </c>
      <c r="C250" s="8">
        <v>4015.9</v>
      </c>
      <c r="D250" s="8">
        <v>4041.22</v>
      </c>
      <c r="E250" s="8">
        <v>3974.76</v>
      </c>
      <c r="F250" s="8">
        <v>4041.22</v>
      </c>
      <c r="G250" s="8">
        <v>3030.91</v>
      </c>
      <c r="H250" s="9">
        <v>341342681</v>
      </c>
    </row>
    <row r="251" spans="1:8" ht="16" x14ac:dyDescent="0.45">
      <c r="A251" s="4">
        <v>247</v>
      </c>
      <c r="B251" s="4" t="s">
        <v>256</v>
      </c>
      <c r="C251" s="5">
        <v>4102.34</v>
      </c>
      <c r="D251" s="5">
        <v>4173.88</v>
      </c>
      <c r="E251" s="5">
        <v>4030.98</v>
      </c>
      <c r="F251" s="5">
        <v>4058.23</v>
      </c>
      <c r="G251" s="5">
        <v>3043.67</v>
      </c>
      <c r="H251" s="6">
        <v>345516168</v>
      </c>
    </row>
    <row r="252" spans="1:8" ht="16" x14ac:dyDescent="0.45">
      <c r="A252" s="7">
        <v>248</v>
      </c>
      <c r="B252" s="7" t="s">
        <v>257</v>
      </c>
      <c r="C252" s="8">
        <v>4079.93</v>
      </c>
      <c r="D252" s="8">
        <v>4091.05</v>
      </c>
      <c r="E252" s="8">
        <v>4060.01</v>
      </c>
      <c r="F252" s="8">
        <v>4091.05</v>
      </c>
      <c r="G252" s="8">
        <v>3068.29</v>
      </c>
      <c r="H252" s="9">
        <v>760181669</v>
      </c>
    </row>
    <row r="253" spans="1:8" ht="16" x14ac:dyDescent="0.45">
      <c r="A253" s="4">
        <v>249</v>
      </c>
      <c r="B253" s="4" t="s">
        <v>258</v>
      </c>
      <c r="C253" s="5">
        <v>4246.76</v>
      </c>
      <c r="D253" s="5">
        <v>4331.17</v>
      </c>
      <c r="E253" s="5">
        <v>4154.13</v>
      </c>
      <c r="F253" s="5">
        <v>4241.16</v>
      </c>
      <c r="G253" s="5">
        <v>3180.87</v>
      </c>
      <c r="H253" s="6">
        <v>424678604</v>
      </c>
    </row>
    <row r="254" spans="1:8" ht="16" x14ac:dyDescent="0.45">
      <c r="A254" s="7">
        <v>250</v>
      </c>
      <c r="B254" s="7" t="s">
        <v>259</v>
      </c>
      <c r="C254" s="8">
        <v>4171.33</v>
      </c>
      <c r="D254" s="8">
        <v>4193.04</v>
      </c>
      <c r="E254" s="8">
        <v>4131.8100000000004</v>
      </c>
      <c r="F254" s="8">
        <v>4175.29</v>
      </c>
      <c r="G254" s="8">
        <v>3131.47</v>
      </c>
      <c r="H254" s="9">
        <v>585642475</v>
      </c>
    </row>
    <row r="255" spans="1:8" ht="16" x14ac:dyDescent="0.45">
      <c r="A255" s="4">
        <v>251</v>
      </c>
      <c r="B255" s="4" t="s">
        <v>260</v>
      </c>
      <c r="C255" s="5">
        <v>4300.54</v>
      </c>
      <c r="D255" s="5">
        <v>4350.13</v>
      </c>
      <c r="E255" s="5">
        <v>4273.45</v>
      </c>
      <c r="F255" s="5">
        <v>4273.45</v>
      </c>
      <c r="G255" s="5">
        <v>3205.09</v>
      </c>
      <c r="H255" s="6">
        <v>762389559</v>
      </c>
    </row>
    <row r="256" spans="1:8" ht="16" x14ac:dyDescent="0.45">
      <c r="A256" s="7">
        <v>252</v>
      </c>
      <c r="B256" s="7" t="s">
        <v>261</v>
      </c>
      <c r="C256" s="8">
        <v>4328.91</v>
      </c>
      <c r="D256" s="8">
        <v>4331.8999999999996</v>
      </c>
      <c r="E256" s="8">
        <v>4279.49</v>
      </c>
      <c r="F256" s="8">
        <v>4300.8500000000004</v>
      </c>
      <c r="G256" s="8">
        <v>3225.64</v>
      </c>
      <c r="H256" s="9">
        <v>738037692</v>
      </c>
    </row>
    <row r="257" spans="1:8" ht="16" x14ac:dyDescent="0.45">
      <c r="A257" s="4">
        <v>253</v>
      </c>
      <c r="B257" s="4" t="s">
        <v>262</v>
      </c>
      <c r="C257" s="5">
        <v>4399.59</v>
      </c>
      <c r="D257" s="5">
        <v>4425.58</v>
      </c>
      <c r="E257" s="5">
        <v>4340.37</v>
      </c>
      <c r="F257" s="5">
        <v>4357.75</v>
      </c>
      <c r="G257" s="5">
        <v>3268.31</v>
      </c>
      <c r="H257" s="6">
        <v>549324170</v>
      </c>
    </row>
    <row r="258" spans="1:8" ht="16" x14ac:dyDescent="0.45">
      <c r="A258" s="7">
        <v>254</v>
      </c>
      <c r="B258" s="7" t="s">
        <v>263</v>
      </c>
      <c r="C258" s="8">
        <v>4284.75</v>
      </c>
      <c r="D258" s="8">
        <v>4330.13</v>
      </c>
      <c r="E258" s="8">
        <v>4254.4799999999996</v>
      </c>
      <c r="F258" s="8">
        <v>4323.13</v>
      </c>
      <c r="G258" s="8">
        <v>3242.34</v>
      </c>
      <c r="H258" s="9">
        <v>528227143</v>
      </c>
    </row>
    <row r="259" spans="1:8" ht="16" x14ac:dyDescent="0.45">
      <c r="A259" s="4">
        <v>255</v>
      </c>
      <c r="B259" s="4" t="s">
        <v>264</v>
      </c>
      <c r="C259" s="5">
        <v>4319.26</v>
      </c>
      <c r="D259" s="5">
        <v>4320.8</v>
      </c>
      <c r="E259" s="5">
        <v>4289.37</v>
      </c>
      <c r="F259" s="5">
        <v>4289.37</v>
      </c>
      <c r="G259" s="5">
        <v>3217.03</v>
      </c>
      <c r="H259" s="6">
        <v>408369596</v>
      </c>
    </row>
    <row r="260" spans="1:8" ht="16" x14ac:dyDescent="0.45">
      <c r="A260" s="7">
        <v>256</v>
      </c>
      <c r="B260" s="7" t="s">
        <v>265</v>
      </c>
      <c r="C260" s="8">
        <v>4259.75</v>
      </c>
      <c r="D260" s="8">
        <v>4332.28</v>
      </c>
      <c r="E260" s="8">
        <v>4246.83</v>
      </c>
      <c r="F260" s="8">
        <v>4332.28</v>
      </c>
      <c r="G260" s="8">
        <v>3249.21</v>
      </c>
      <c r="H260" s="9">
        <v>662808509</v>
      </c>
    </row>
    <row r="261" spans="1:8" ht="16" x14ac:dyDescent="0.45">
      <c r="A261" s="4">
        <v>257</v>
      </c>
      <c r="B261" s="4" t="s">
        <v>266</v>
      </c>
      <c r="C261" s="5">
        <v>4372.71</v>
      </c>
      <c r="D261" s="5">
        <v>4436.2</v>
      </c>
      <c r="E261" s="5">
        <v>4321.2700000000004</v>
      </c>
      <c r="F261" s="5">
        <v>4356.29</v>
      </c>
      <c r="G261" s="5">
        <v>3267.22</v>
      </c>
      <c r="H261" s="6">
        <v>583383596</v>
      </c>
    </row>
    <row r="262" spans="1:8" ht="16" x14ac:dyDescent="0.45">
      <c r="A262" s="7">
        <v>258</v>
      </c>
      <c r="B262" s="7" t="s">
        <v>267</v>
      </c>
      <c r="C262" s="8">
        <v>4407.9799999999996</v>
      </c>
      <c r="D262" s="8">
        <v>4468.03</v>
      </c>
      <c r="E262" s="8">
        <v>4395.78</v>
      </c>
      <c r="F262" s="8">
        <v>4468.03</v>
      </c>
      <c r="G262" s="8">
        <v>3351.02</v>
      </c>
      <c r="H262" s="9">
        <v>948088458</v>
      </c>
    </row>
    <row r="263" spans="1:8" ht="16" x14ac:dyDescent="0.45">
      <c r="A263" s="4">
        <v>259</v>
      </c>
      <c r="B263" s="4" t="s">
        <v>268</v>
      </c>
      <c r="C263" s="5">
        <v>4560.13</v>
      </c>
      <c r="D263" s="5">
        <v>4592.17</v>
      </c>
      <c r="E263" s="5">
        <v>4530.43</v>
      </c>
      <c r="F263" s="5">
        <v>4534.6000000000004</v>
      </c>
      <c r="G263" s="5">
        <v>3400.95</v>
      </c>
      <c r="H263" s="6">
        <v>800585447</v>
      </c>
    </row>
    <row r="264" spans="1:8" ht="16" x14ac:dyDescent="0.45">
      <c r="A264" s="7">
        <v>260</v>
      </c>
      <c r="B264" s="7" t="s">
        <v>269</v>
      </c>
      <c r="C264" s="8">
        <v>4565.55</v>
      </c>
      <c r="D264" s="8">
        <v>4599.66</v>
      </c>
      <c r="E264" s="8">
        <v>4562.17</v>
      </c>
      <c r="F264" s="8">
        <v>4599.66</v>
      </c>
      <c r="G264" s="8">
        <v>3449.75</v>
      </c>
      <c r="H264" s="9">
        <v>320693309</v>
      </c>
    </row>
    <row r="265" spans="1:8" ht="16" x14ac:dyDescent="0.45">
      <c r="A265" s="4">
        <v>261</v>
      </c>
      <c r="B265" s="4" t="s">
        <v>270</v>
      </c>
      <c r="C265" s="5">
        <v>4544.3500000000004</v>
      </c>
      <c r="D265" s="5">
        <v>4572.9799999999996</v>
      </c>
      <c r="E265" s="5">
        <v>4514.1000000000004</v>
      </c>
      <c r="F265" s="5">
        <v>4553.08</v>
      </c>
      <c r="G265" s="5">
        <v>3414.81</v>
      </c>
      <c r="H265" s="6">
        <v>442789899</v>
      </c>
    </row>
    <row r="266" spans="1:8" ht="16" x14ac:dyDescent="0.45">
      <c r="A266" s="7">
        <v>262</v>
      </c>
      <c r="B266" s="7" t="s">
        <v>271</v>
      </c>
      <c r="C266" s="8">
        <v>4443.8</v>
      </c>
      <c r="D266" s="8">
        <v>4492.4399999999996</v>
      </c>
      <c r="E266" s="8">
        <v>4378.8100000000004</v>
      </c>
      <c r="F266" s="8">
        <v>4378.8100000000004</v>
      </c>
      <c r="G266" s="8">
        <v>3284.1</v>
      </c>
      <c r="H266" s="9">
        <v>894584488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6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81" customWidth="1"/>
    <col min="2" max="4" width="31" customWidth="1"/>
    <col min="5" max="5" width="37" customWidth="1"/>
  </cols>
  <sheetData>
    <row r="1" spans="1:5" ht="21" x14ac:dyDescent="0.55000000000000004">
      <c r="A1" s="1" t="s">
        <v>272</v>
      </c>
    </row>
    <row r="2" spans="1:5" ht="16" x14ac:dyDescent="0.45">
      <c r="A2" s="2" t="s">
        <v>273</v>
      </c>
    </row>
    <row r="4" spans="1:5" ht="16.5" x14ac:dyDescent="0.35">
      <c r="A4" s="3" t="s">
        <v>2</v>
      </c>
      <c r="B4" s="3" t="s">
        <v>3</v>
      </c>
      <c r="C4" s="3" t="s">
        <v>274</v>
      </c>
      <c r="D4" s="3" t="s">
        <v>275</v>
      </c>
      <c r="E4" s="3" t="s">
        <v>276</v>
      </c>
    </row>
    <row r="5" spans="1:5" ht="16" x14ac:dyDescent="0.45">
      <c r="A5" s="4">
        <v>1</v>
      </c>
      <c r="B5" s="4" t="str">
        <f>Data_Historis_Mingguan!B5</f>
        <v>Oct 01, 2021</v>
      </c>
      <c r="C5" s="10">
        <f>Data_Historis_Mingguan!F5</f>
        <v>3810.96</v>
      </c>
      <c r="D5" s="4" t="s">
        <v>277</v>
      </c>
      <c r="E5" s="4" t="s">
        <v>277</v>
      </c>
    </row>
    <row r="6" spans="1:5" ht="16" x14ac:dyDescent="0.45">
      <c r="A6" s="7">
        <v>2</v>
      </c>
      <c r="B6" s="7" t="str">
        <f>Data_Historis_Mingguan!B6</f>
        <v>Oct 08, 2021</v>
      </c>
      <c r="C6" s="11">
        <f>Data_Historis_Mingguan!F6</f>
        <v>3814.73</v>
      </c>
      <c r="D6" s="11">
        <f>Data_Historis_Mingguan!F5</f>
        <v>3810.96</v>
      </c>
      <c r="E6" s="11">
        <f t="shared" ref="E6:E69" si="0">C6-D6</f>
        <v>3.7699999999999818</v>
      </c>
    </row>
    <row r="7" spans="1:5" ht="16" x14ac:dyDescent="0.45">
      <c r="A7" s="4">
        <v>3</v>
      </c>
      <c r="B7" s="4" t="str">
        <f>Data_Historis_Mingguan!B7</f>
        <v>Oct 15, 2021</v>
      </c>
      <c r="C7" s="10">
        <f>Data_Historis_Mingguan!F7</f>
        <v>3968.28</v>
      </c>
      <c r="D7" s="10">
        <f>Data_Historis_Mingguan!F6</f>
        <v>3814.73</v>
      </c>
      <c r="E7" s="10">
        <f t="shared" si="0"/>
        <v>153.55000000000018</v>
      </c>
    </row>
    <row r="8" spans="1:5" ht="16" x14ac:dyDescent="0.45">
      <c r="A8" s="7">
        <v>4</v>
      </c>
      <c r="B8" s="7" t="str">
        <f>Data_Historis_Mingguan!B8</f>
        <v>Oct 22, 2021</v>
      </c>
      <c r="C8" s="11">
        <f>Data_Historis_Mingguan!F8</f>
        <v>4093.92</v>
      </c>
      <c r="D8" s="11">
        <f>Data_Historis_Mingguan!F7</f>
        <v>3968.28</v>
      </c>
      <c r="E8" s="11">
        <f t="shared" si="0"/>
        <v>125.63999999999987</v>
      </c>
    </row>
    <row r="9" spans="1:5" ht="16" x14ac:dyDescent="0.45">
      <c r="A9" s="4">
        <v>5</v>
      </c>
      <c r="B9" s="4" t="str">
        <f>Data_Historis_Mingguan!B9</f>
        <v>Oct 29, 2021</v>
      </c>
      <c r="C9" s="10">
        <f>Data_Historis_Mingguan!F9</f>
        <v>4103.16</v>
      </c>
      <c r="D9" s="10">
        <f>Data_Historis_Mingguan!F8</f>
        <v>4093.92</v>
      </c>
      <c r="E9" s="10">
        <f t="shared" si="0"/>
        <v>9.2399999999997817</v>
      </c>
    </row>
    <row r="10" spans="1:5" ht="16" x14ac:dyDescent="0.45">
      <c r="A10" s="7">
        <v>6</v>
      </c>
      <c r="B10" s="7" t="str">
        <f>Data_Historis_Mingguan!B10</f>
        <v>Nov 05, 2021</v>
      </c>
      <c r="C10" s="11">
        <f>Data_Historis_Mingguan!F10</f>
        <v>4098.53</v>
      </c>
      <c r="D10" s="11">
        <f>Data_Historis_Mingguan!F9</f>
        <v>4103.16</v>
      </c>
      <c r="E10" s="11">
        <f t="shared" si="0"/>
        <v>-4.6300000000001091</v>
      </c>
    </row>
    <row r="11" spans="1:5" ht="16" x14ac:dyDescent="0.45">
      <c r="A11" s="4">
        <v>7</v>
      </c>
      <c r="B11" s="4" t="str">
        <f>Data_Historis_Mingguan!B11</f>
        <v>Nov 12, 2021</v>
      </c>
      <c r="C11" s="10">
        <f>Data_Historis_Mingguan!F11</f>
        <v>4140.07</v>
      </c>
      <c r="D11" s="10">
        <f>Data_Historis_Mingguan!F10</f>
        <v>4098.53</v>
      </c>
      <c r="E11" s="10">
        <f t="shared" si="0"/>
        <v>41.539999999999964</v>
      </c>
    </row>
    <row r="12" spans="1:5" ht="16" x14ac:dyDescent="0.45">
      <c r="A12" s="7">
        <v>8</v>
      </c>
      <c r="B12" s="7" t="str">
        <f>Data_Historis_Mingguan!B12</f>
        <v>Nov 19, 2021</v>
      </c>
      <c r="C12" s="11">
        <f>Data_Historis_Mingguan!F12</f>
        <v>4148.58</v>
      </c>
      <c r="D12" s="11">
        <f>Data_Historis_Mingguan!F11</f>
        <v>4140.07</v>
      </c>
      <c r="E12" s="11">
        <f t="shared" si="0"/>
        <v>8.5100000000002183</v>
      </c>
    </row>
    <row r="13" spans="1:5" ht="16" x14ac:dyDescent="0.45">
      <c r="A13" s="4">
        <v>9</v>
      </c>
      <c r="B13" s="4" t="str">
        <f>Data_Historis_Mingguan!B13</f>
        <v>Nov 26, 2021</v>
      </c>
      <c r="C13" s="10">
        <f>Data_Historis_Mingguan!F13</f>
        <v>4053.05</v>
      </c>
      <c r="D13" s="10">
        <f>Data_Historis_Mingguan!F12</f>
        <v>4148.58</v>
      </c>
      <c r="E13" s="10">
        <f t="shared" si="0"/>
        <v>-95.529999999999745</v>
      </c>
    </row>
    <row r="14" spans="1:5" ht="16" x14ac:dyDescent="0.45">
      <c r="A14" s="7">
        <v>10</v>
      </c>
      <c r="B14" s="7" t="str">
        <f>Data_Historis_Mingguan!B14</f>
        <v>Dec 03, 2021</v>
      </c>
      <c r="C14" s="11">
        <f>Data_Historis_Mingguan!F14</f>
        <v>4106.9799999999996</v>
      </c>
      <c r="D14" s="11">
        <f>Data_Historis_Mingguan!F13</f>
        <v>4053.05</v>
      </c>
      <c r="E14" s="11">
        <f t="shared" si="0"/>
        <v>53.929999999999382</v>
      </c>
    </row>
    <row r="15" spans="1:5" ht="16" x14ac:dyDescent="0.45">
      <c r="A15" s="4">
        <v>11</v>
      </c>
      <c r="B15" s="4" t="str">
        <f>Data_Historis_Mingguan!B15</f>
        <v>Dec 10, 2021</v>
      </c>
      <c r="C15" s="10">
        <f>Data_Historis_Mingguan!F15</f>
        <v>4106.6499999999996</v>
      </c>
      <c r="D15" s="10">
        <f>Data_Historis_Mingguan!F14</f>
        <v>4106.9799999999996</v>
      </c>
      <c r="E15" s="10">
        <f t="shared" si="0"/>
        <v>-0.32999999999992724</v>
      </c>
    </row>
    <row r="16" spans="1:5" ht="16" x14ac:dyDescent="0.45">
      <c r="A16" s="7">
        <v>12</v>
      </c>
      <c r="B16" s="7" t="str">
        <f>Data_Historis_Mingguan!B16</f>
        <v>Dec 17, 2021</v>
      </c>
      <c r="C16" s="11">
        <f>Data_Historis_Mingguan!F16</f>
        <v>4110.08</v>
      </c>
      <c r="D16" s="11">
        <f>Data_Historis_Mingguan!F15</f>
        <v>4106.6499999999996</v>
      </c>
      <c r="E16" s="11">
        <f t="shared" si="0"/>
        <v>3.430000000000291</v>
      </c>
    </row>
    <row r="17" spans="1:5" ht="16" x14ac:dyDescent="0.45">
      <c r="A17" s="4">
        <v>13</v>
      </c>
      <c r="B17" s="4" t="str">
        <f>Data_Historis_Mingguan!B17</f>
        <v>Dec 24, 2021</v>
      </c>
      <c r="C17" s="10">
        <f>Data_Historis_Mingguan!F17</f>
        <v>4088.46</v>
      </c>
      <c r="D17" s="10">
        <f>Data_Historis_Mingguan!F16</f>
        <v>4110.08</v>
      </c>
      <c r="E17" s="10">
        <f t="shared" si="0"/>
        <v>-21.619999999999891</v>
      </c>
    </row>
    <row r="18" spans="1:5" ht="16" x14ac:dyDescent="0.45">
      <c r="A18" s="7">
        <v>14</v>
      </c>
      <c r="B18" s="7" t="str">
        <f>Data_Historis_Mingguan!B18</f>
        <v>Dec 31, 2021</v>
      </c>
      <c r="C18" s="11">
        <f>Data_Historis_Mingguan!F18</f>
        <v>4051.64</v>
      </c>
      <c r="D18" s="11">
        <f>Data_Historis_Mingguan!F17</f>
        <v>4088.46</v>
      </c>
      <c r="E18" s="11">
        <f t="shared" si="0"/>
        <v>-36.820000000000164</v>
      </c>
    </row>
    <row r="19" spans="1:5" ht="16" x14ac:dyDescent="0.45">
      <c r="A19" s="4">
        <v>15</v>
      </c>
      <c r="B19" s="4" t="str">
        <f>Data_Historis_Mingguan!B19</f>
        <v>Jan 07, 2022</v>
      </c>
      <c r="C19" s="10">
        <f>Data_Historis_Mingguan!F19</f>
        <v>3946.8</v>
      </c>
      <c r="D19" s="10">
        <f>Data_Historis_Mingguan!F18</f>
        <v>4051.64</v>
      </c>
      <c r="E19" s="10">
        <f t="shared" si="0"/>
        <v>-104.83999999999969</v>
      </c>
    </row>
    <row r="20" spans="1:5" ht="16" x14ac:dyDescent="0.45">
      <c r="A20" s="7">
        <v>16</v>
      </c>
      <c r="B20" s="7" t="str">
        <f>Data_Historis_Mingguan!B20</f>
        <v>Jan 14, 2022</v>
      </c>
      <c r="C20" s="11">
        <f>Data_Historis_Mingguan!F20</f>
        <v>3870.85</v>
      </c>
      <c r="D20" s="11">
        <f>Data_Historis_Mingguan!F19</f>
        <v>3946.8</v>
      </c>
      <c r="E20" s="11">
        <f t="shared" si="0"/>
        <v>-75.950000000000273</v>
      </c>
    </row>
    <row r="21" spans="1:5" ht="16" x14ac:dyDescent="0.45">
      <c r="A21" s="4">
        <v>17</v>
      </c>
      <c r="B21" s="4" t="str">
        <f>Data_Historis_Mingguan!B21</f>
        <v>Jan 21, 2022</v>
      </c>
      <c r="C21" s="10">
        <f>Data_Historis_Mingguan!F21</f>
        <v>3896.99</v>
      </c>
      <c r="D21" s="10">
        <f>Data_Historis_Mingguan!F20</f>
        <v>3870.85</v>
      </c>
      <c r="E21" s="10">
        <f t="shared" si="0"/>
        <v>26.139999999999873</v>
      </c>
    </row>
    <row r="22" spans="1:5" ht="16" x14ac:dyDescent="0.45">
      <c r="A22" s="7">
        <v>18</v>
      </c>
      <c r="B22" s="7" t="str">
        <f>Data_Historis_Mingguan!B22</f>
        <v>Jan 28, 2022</v>
      </c>
      <c r="C22" s="11">
        <f>Data_Historis_Mingguan!F22</f>
        <v>3838.59</v>
      </c>
      <c r="D22" s="11">
        <f>Data_Historis_Mingguan!F21</f>
        <v>3896.99</v>
      </c>
      <c r="E22" s="11">
        <f t="shared" si="0"/>
        <v>-58.399999999999636</v>
      </c>
    </row>
    <row r="23" spans="1:5" ht="16" x14ac:dyDescent="0.45">
      <c r="A23" s="4">
        <v>19</v>
      </c>
      <c r="B23" s="4" t="str">
        <f>Data_Historis_Mingguan!B23</f>
        <v>Feb 04, 2022</v>
      </c>
      <c r="C23" s="10">
        <f>Data_Historis_Mingguan!F23</f>
        <v>3815.19</v>
      </c>
      <c r="D23" s="10">
        <f>Data_Historis_Mingguan!F22</f>
        <v>3838.59</v>
      </c>
      <c r="E23" s="10">
        <f t="shared" si="0"/>
        <v>-23.400000000000091</v>
      </c>
    </row>
    <row r="24" spans="1:5" ht="16" x14ac:dyDescent="0.45">
      <c r="A24" s="7">
        <v>20</v>
      </c>
      <c r="B24" s="7" t="str">
        <f>Data_Historis_Mingguan!B24</f>
        <v>Feb 11, 2022</v>
      </c>
      <c r="C24" s="11">
        <f>Data_Historis_Mingguan!F24</f>
        <v>3817.15</v>
      </c>
      <c r="D24" s="11">
        <f>Data_Historis_Mingguan!F23</f>
        <v>3815.19</v>
      </c>
      <c r="E24" s="11">
        <f t="shared" si="0"/>
        <v>1.9600000000000364</v>
      </c>
    </row>
    <row r="25" spans="1:5" ht="16" x14ac:dyDescent="0.45">
      <c r="A25" s="4">
        <v>21</v>
      </c>
      <c r="B25" s="4" t="str">
        <f>Data_Historis_Mingguan!B25</f>
        <v>Feb 18, 2022</v>
      </c>
      <c r="C25" s="10">
        <f>Data_Historis_Mingguan!F25</f>
        <v>3789.16</v>
      </c>
      <c r="D25" s="10">
        <f>Data_Historis_Mingguan!F24</f>
        <v>3817.15</v>
      </c>
      <c r="E25" s="10">
        <f t="shared" si="0"/>
        <v>-27.990000000000236</v>
      </c>
    </row>
    <row r="26" spans="1:5" ht="16" x14ac:dyDescent="0.45">
      <c r="A26" s="7">
        <v>22</v>
      </c>
      <c r="B26" s="7" t="str">
        <f>Data_Historis_Mingguan!B26</f>
        <v>Feb 25, 2022</v>
      </c>
      <c r="C26" s="11">
        <f>Data_Historis_Mingguan!F26</f>
        <v>3800.47</v>
      </c>
      <c r="D26" s="11">
        <f>Data_Historis_Mingguan!F25</f>
        <v>3789.16</v>
      </c>
      <c r="E26" s="11">
        <f t="shared" si="0"/>
        <v>11.309999999999945</v>
      </c>
    </row>
    <row r="27" spans="1:5" ht="16" x14ac:dyDescent="0.45">
      <c r="A27" s="4">
        <v>23</v>
      </c>
      <c r="B27" s="4" t="str">
        <f>Data_Historis_Mingguan!B27</f>
        <v>Mar 04, 2022</v>
      </c>
      <c r="C27" s="10">
        <f>Data_Historis_Mingguan!F27</f>
        <v>3933.39</v>
      </c>
      <c r="D27" s="10">
        <f>Data_Historis_Mingguan!F26</f>
        <v>3800.47</v>
      </c>
      <c r="E27" s="10">
        <f t="shared" si="0"/>
        <v>132.92000000000007</v>
      </c>
    </row>
    <row r="28" spans="1:5" ht="16" x14ac:dyDescent="0.45">
      <c r="A28" s="7">
        <v>24</v>
      </c>
      <c r="B28" s="7" t="str">
        <f>Data_Historis_Mingguan!B28</f>
        <v>Mar 11, 2022</v>
      </c>
      <c r="C28" s="11">
        <f>Data_Historis_Mingguan!F28</f>
        <v>3856.28</v>
      </c>
      <c r="D28" s="11">
        <f>Data_Historis_Mingguan!F27</f>
        <v>3933.39</v>
      </c>
      <c r="E28" s="11">
        <f t="shared" si="0"/>
        <v>-77.109999999999673</v>
      </c>
    </row>
    <row r="29" spans="1:5" ht="16" x14ac:dyDescent="0.45">
      <c r="A29" s="4">
        <v>25</v>
      </c>
      <c r="B29" s="4" t="str">
        <f>Data_Historis_Mingguan!B29</f>
        <v>Mar 18, 2022</v>
      </c>
      <c r="C29" s="10">
        <f>Data_Historis_Mingguan!F29</f>
        <v>3957.76</v>
      </c>
      <c r="D29" s="10">
        <f>Data_Historis_Mingguan!F28</f>
        <v>3856.28</v>
      </c>
      <c r="E29" s="10">
        <f t="shared" si="0"/>
        <v>101.48000000000002</v>
      </c>
    </row>
    <row r="30" spans="1:5" ht="16" x14ac:dyDescent="0.45">
      <c r="A30" s="7">
        <v>26</v>
      </c>
      <c r="B30" s="7" t="str">
        <f>Data_Historis_Mingguan!B30</f>
        <v>Mar 25, 2022</v>
      </c>
      <c r="C30" s="11">
        <f>Data_Historis_Mingguan!F30</f>
        <v>3904.11</v>
      </c>
      <c r="D30" s="11">
        <f>Data_Historis_Mingguan!F29</f>
        <v>3957.76</v>
      </c>
      <c r="E30" s="11">
        <f t="shared" si="0"/>
        <v>-53.650000000000091</v>
      </c>
    </row>
    <row r="31" spans="1:5" ht="16" x14ac:dyDescent="0.45">
      <c r="A31" s="4">
        <v>27</v>
      </c>
      <c r="B31" s="4" t="str">
        <f>Data_Historis_Mingguan!B31</f>
        <v>Apr 01, 2022</v>
      </c>
      <c r="C31" s="10">
        <f>Data_Historis_Mingguan!F31</f>
        <v>3950.59</v>
      </c>
      <c r="D31" s="10">
        <f>Data_Historis_Mingguan!F30</f>
        <v>3904.11</v>
      </c>
      <c r="E31" s="10">
        <f t="shared" si="0"/>
        <v>46.480000000000018</v>
      </c>
    </row>
    <row r="32" spans="1:5" ht="16" x14ac:dyDescent="0.45">
      <c r="A32" s="7">
        <v>28</v>
      </c>
      <c r="B32" s="7" t="str">
        <f>Data_Historis_Mingguan!B32</f>
        <v>Apr 08, 2022</v>
      </c>
      <c r="C32" s="11">
        <f>Data_Historis_Mingguan!F32</f>
        <v>3875.43</v>
      </c>
      <c r="D32" s="11">
        <f>Data_Historis_Mingguan!F31</f>
        <v>3950.59</v>
      </c>
      <c r="E32" s="11">
        <f t="shared" si="0"/>
        <v>-75.160000000000309</v>
      </c>
    </row>
    <row r="33" spans="1:5" ht="16" x14ac:dyDescent="0.45">
      <c r="A33" s="4">
        <v>29</v>
      </c>
      <c r="B33" s="4" t="str">
        <f>Data_Historis_Mingguan!B33</f>
        <v>Apr 15, 2022</v>
      </c>
      <c r="C33" s="10">
        <f>Data_Historis_Mingguan!F33</f>
        <v>3887.04</v>
      </c>
      <c r="D33" s="10">
        <f>Data_Historis_Mingguan!F32</f>
        <v>3875.43</v>
      </c>
      <c r="E33" s="10">
        <f t="shared" si="0"/>
        <v>11.610000000000127</v>
      </c>
    </row>
    <row r="34" spans="1:5" ht="16" x14ac:dyDescent="0.45">
      <c r="A34" s="7">
        <v>30</v>
      </c>
      <c r="B34" s="7" t="str">
        <f>Data_Historis_Mingguan!B34</f>
        <v>Apr 22, 2022</v>
      </c>
      <c r="C34" s="11">
        <f>Data_Historis_Mingguan!F34</f>
        <v>3978.66</v>
      </c>
      <c r="D34" s="11">
        <f>Data_Historis_Mingguan!F33</f>
        <v>3887.04</v>
      </c>
      <c r="E34" s="11">
        <f t="shared" si="0"/>
        <v>91.619999999999891</v>
      </c>
    </row>
    <row r="35" spans="1:5" ht="16" x14ac:dyDescent="0.45">
      <c r="A35" s="4">
        <v>31</v>
      </c>
      <c r="B35" s="4" t="str">
        <f>Data_Historis_Mingguan!B35</f>
        <v>Apr 29, 2022</v>
      </c>
      <c r="C35" s="10">
        <f>Data_Historis_Mingguan!F35</f>
        <v>3982.32</v>
      </c>
      <c r="D35" s="10">
        <f>Data_Historis_Mingguan!F34</f>
        <v>3978.66</v>
      </c>
      <c r="E35" s="10">
        <f t="shared" si="0"/>
        <v>3.6600000000003092</v>
      </c>
    </row>
    <row r="36" spans="1:5" ht="16" x14ac:dyDescent="0.45">
      <c r="A36" s="7">
        <v>32</v>
      </c>
      <c r="B36" s="7" t="str">
        <f>Data_Historis_Mingguan!B36</f>
        <v>May 06, 2022</v>
      </c>
      <c r="C36" s="11">
        <f>Data_Historis_Mingguan!F36</f>
        <v>3997.32</v>
      </c>
      <c r="D36" s="11">
        <f>Data_Historis_Mingguan!F35</f>
        <v>3982.32</v>
      </c>
      <c r="E36" s="11">
        <f t="shared" si="0"/>
        <v>15</v>
      </c>
    </row>
    <row r="37" spans="1:5" ht="16" x14ac:dyDescent="0.45">
      <c r="A37" s="4">
        <v>33</v>
      </c>
      <c r="B37" s="4" t="str">
        <f>Data_Historis_Mingguan!B37</f>
        <v>May 13, 2022</v>
      </c>
      <c r="C37" s="10">
        <f>Data_Historis_Mingguan!F37</f>
        <v>3980.18</v>
      </c>
      <c r="D37" s="10">
        <f>Data_Historis_Mingguan!F36</f>
        <v>3997.32</v>
      </c>
      <c r="E37" s="10">
        <f t="shared" si="0"/>
        <v>-17.140000000000327</v>
      </c>
    </row>
    <row r="38" spans="1:5" ht="16" x14ac:dyDescent="0.45">
      <c r="A38" s="7">
        <v>34</v>
      </c>
      <c r="B38" s="7" t="str">
        <f>Data_Historis_Mingguan!B38</f>
        <v>May 20, 2022</v>
      </c>
      <c r="C38" s="11">
        <f>Data_Historis_Mingguan!F38</f>
        <v>4039.44</v>
      </c>
      <c r="D38" s="11">
        <f>Data_Historis_Mingguan!F37</f>
        <v>3980.18</v>
      </c>
      <c r="E38" s="11">
        <f t="shared" si="0"/>
        <v>59.260000000000218</v>
      </c>
    </row>
    <row r="39" spans="1:5" ht="16" x14ac:dyDescent="0.45">
      <c r="A39" s="4">
        <v>35</v>
      </c>
      <c r="B39" s="4" t="str">
        <f>Data_Historis_Mingguan!B39</f>
        <v>May 27, 2022</v>
      </c>
      <c r="C39" s="10">
        <f>Data_Historis_Mingguan!F39</f>
        <v>3865.76</v>
      </c>
      <c r="D39" s="10">
        <f>Data_Historis_Mingguan!F38</f>
        <v>4039.44</v>
      </c>
      <c r="E39" s="10">
        <f t="shared" si="0"/>
        <v>-173.67999999999984</v>
      </c>
    </row>
    <row r="40" spans="1:5" ht="16" x14ac:dyDescent="0.45">
      <c r="A40" s="7">
        <v>36</v>
      </c>
      <c r="B40" s="7" t="str">
        <f>Data_Historis_Mingguan!B40</f>
        <v>Jun 03, 2022</v>
      </c>
      <c r="C40" s="11">
        <f>Data_Historis_Mingguan!F40</f>
        <v>3994.16</v>
      </c>
      <c r="D40" s="11">
        <f>Data_Historis_Mingguan!F39</f>
        <v>3865.76</v>
      </c>
      <c r="E40" s="11">
        <f t="shared" si="0"/>
        <v>128.39999999999964</v>
      </c>
    </row>
    <row r="41" spans="1:5" ht="16" x14ac:dyDescent="0.45">
      <c r="A41" s="4">
        <v>37</v>
      </c>
      <c r="B41" s="4" t="str">
        <f>Data_Historis_Mingguan!B41</f>
        <v>Jun 10, 2022</v>
      </c>
      <c r="C41" s="10">
        <f>Data_Historis_Mingguan!F41</f>
        <v>4280.04</v>
      </c>
      <c r="D41" s="10">
        <f>Data_Historis_Mingguan!F40</f>
        <v>3994.16</v>
      </c>
      <c r="E41" s="10">
        <f t="shared" si="0"/>
        <v>285.88000000000011</v>
      </c>
    </row>
    <row r="42" spans="1:5" ht="16" x14ac:dyDescent="0.45">
      <c r="A42" s="7">
        <v>38</v>
      </c>
      <c r="B42" s="7" t="str">
        <f>Data_Historis_Mingguan!B42</f>
        <v>Jun 17, 2022</v>
      </c>
      <c r="C42" s="11">
        <f>Data_Historis_Mingguan!F42</f>
        <v>4340.1400000000003</v>
      </c>
      <c r="D42" s="11">
        <f>Data_Historis_Mingguan!F41</f>
        <v>4280.04</v>
      </c>
      <c r="E42" s="11">
        <f t="shared" si="0"/>
        <v>60.100000000000364</v>
      </c>
    </row>
    <row r="43" spans="1:5" ht="16" x14ac:dyDescent="0.45">
      <c r="A43" s="4">
        <v>39</v>
      </c>
      <c r="B43" s="4" t="str">
        <f>Data_Historis_Mingguan!B43</f>
        <v>Jun 24, 2022</v>
      </c>
      <c r="C43" s="10">
        <f>Data_Historis_Mingguan!F43</f>
        <v>4227.1099999999997</v>
      </c>
      <c r="D43" s="10">
        <f>Data_Historis_Mingguan!F42</f>
        <v>4340.1400000000003</v>
      </c>
      <c r="E43" s="10">
        <f t="shared" si="0"/>
        <v>-113.03000000000065</v>
      </c>
    </row>
    <row r="44" spans="1:5" ht="16" x14ac:dyDescent="0.45">
      <c r="A44" s="7">
        <v>40</v>
      </c>
      <c r="B44" s="7" t="str">
        <f>Data_Historis_Mingguan!B44</f>
        <v>Jul 01, 2022</v>
      </c>
      <c r="C44" s="11">
        <f>Data_Historis_Mingguan!F44</f>
        <v>4181.8999999999996</v>
      </c>
      <c r="D44" s="11">
        <f>Data_Historis_Mingguan!F43</f>
        <v>4227.1099999999997</v>
      </c>
      <c r="E44" s="11">
        <f t="shared" si="0"/>
        <v>-45.210000000000036</v>
      </c>
    </row>
    <row r="45" spans="1:5" ht="16" x14ac:dyDescent="0.45">
      <c r="A45" s="4">
        <v>41</v>
      </c>
      <c r="B45" s="4" t="str">
        <f>Data_Historis_Mingguan!B45</f>
        <v>Jul 08, 2022</v>
      </c>
      <c r="C45" s="10">
        <f>Data_Historis_Mingguan!F45</f>
        <v>4082.05</v>
      </c>
      <c r="D45" s="10">
        <f>Data_Historis_Mingguan!F44</f>
        <v>4181.8999999999996</v>
      </c>
      <c r="E45" s="10">
        <f t="shared" si="0"/>
        <v>-99.849999999999454</v>
      </c>
    </row>
    <row r="46" spans="1:5" ht="16" x14ac:dyDescent="0.45">
      <c r="A46" s="7">
        <v>42</v>
      </c>
      <c r="B46" s="7" t="str">
        <f>Data_Historis_Mingguan!B46</f>
        <v>Jul 15, 2022</v>
      </c>
      <c r="C46" s="11">
        <f>Data_Historis_Mingguan!F46</f>
        <v>3983.83</v>
      </c>
      <c r="D46" s="11">
        <f>Data_Historis_Mingguan!F45</f>
        <v>4082.05</v>
      </c>
      <c r="E46" s="11">
        <f t="shared" si="0"/>
        <v>-98.220000000000255</v>
      </c>
    </row>
    <row r="47" spans="1:5" ht="16" x14ac:dyDescent="0.45">
      <c r="A47" s="4">
        <v>43</v>
      </c>
      <c r="B47" s="4" t="str">
        <f>Data_Historis_Mingguan!B47</f>
        <v>Jul 22, 2022</v>
      </c>
      <c r="C47" s="10">
        <f>Data_Historis_Mingguan!F47</f>
        <v>3945.67</v>
      </c>
      <c r="D47" s="10">
        <f>Data_Historis_Mingguan!F46</f>
        <v>3983.83</v>
      </c>
      <c r="E47" s="10">
        <f t="shared" si="0"/>
        <v>-38.159999999999854</v>
      </c>
    </row>
    <row r="48" spans="1:5" ht="16" x14ac:dyDescent="0.45">
      <c r="A48" s="7">
        <v>44</v>
      </c>
      <c r="B48" s="7" t="str">
        <f>Data_Historis_Mingguan!B48</f>
        <v>Jul 29, 2022</v>
      </c>
      <c r="C48" s="11">
        <f>Data_Historis_Mingguan!F48</f>
        <v>3946.18</v>
      </c>
      <c r="D48" s="11">
        <f>Data_Historis_Mingguan!F47</f>
        <v>3945.67</v>
      </c>
      <c r="E48" s="11">
        <f t="shared" si="0"/>
        <v>0.50999999999976353</v>
      </c>
    </row>
    <row r="49" spans="1:5" ht="16" x14ac:dyDescent="0.45">
      <c r="A49" s="4">
        <v>45</v>
      </c>
      <c r="B49" s="4" t="str">
        <f>Data_Historis_Mingguan!B49</f>
        <v>Aug 05, 2022</v>
      </c>
      <c r="C49" s="10">
        <f>Data_Historis_Mingguan!F49</f>
        <v>3745.09</v>
      </c>
      <c r="D49" s="10">
        <f>Data_Historis_Mingguan!F48</f>
        <v>3946.18</v>
      </c>
      <c r="E49" s="10">
        <f t="shared" si="0"/>
        <v>-201.08999999999969</v>
      </c>
    </row>
    <row r="50" spans="1:5" ht="16" x14ac:dyDescent="0.45">
      <c r="A50" s="7">
        <v>46</v>
      </c>
      <c r="B50" s="7" t="str">
        <f>Data_Historis_Mingguan!B50</f>
        <v>Aug 12, 2022</v>
      </c>
      <c r="C50" s="11">
        <f>Data_Historis_Mingguan!F50</f>
        <v>3671.12</v>
      </c>
      <c r="D50" s="11">
        <f>Data_Historis_Mingguan!F49</f>
        <v>3745.09</v>
      </c>
      <c r="E50" s="11">
        <f t="shared" si="0"/>
        <v>-73.970000000000255</v>
      </c>
    </row>
    <row r="51" spans="1:5" ht="16" x14ac:dyDescent="0.45">
      <c r="A51" s="4">
        <v>47</v>
      </c>
      <c r="B51" s="4" t="str">
        <f>Data_Historis_Mingguan!B51</f>
        <v>Aug 19, 2022</v>
      </c>
      <c r="C51" s="10">
        <f>Data_Historis_Mingguan!F51</f>
        <v>3758.23</v>
      </c>
      <c r="D51" s="10">
        <f>Data_Historis_Mingguan!F50</f>
        <v>3671.12</v>
      </c>
      <c r="E51" s="10">
        <f t="shared" si="0"/>
        <v>87.110000000000127</v>
      </c>
    </row>
    <row r="52" spans="1:5" ht="16" x14ac:dyDescent="0.45">
      <c r="A52" s="7">
        <v>48</v>
      </c>
      <c r="B52" s="7" t="str">
        <f>Data_Historis_Mingguan!B52</f>
        <v>Aug 26, 2022</v>
      </c>
      <c r="C52" s="11">
        <f>Data_Historis_Mingguan!F52</f>
        <v>3726.87</v>
      </c>
      <c r="D52" s="11">
        <f>Data_Historis_Mingguan!F51</f>
        <v>3758.23</v>
      </c>
      <c r="E52" s="11">
        <f t="shared" si="0"/>
        <v>-31.360000000000127</v>
      </c>
    </row>
    <row r="53" spans="1:5" ht="16" x14ac:dyDescent="0.45">
      <c r="A53" s="4">
        <v>49</v>
      </c>
      <c r="B53" s="4" t="str">
        <f>Data_Historis_Mingguan!B53</f>
        <v>Sep 02, 2022</v>
      </c>
      <c r="C53" s="10">
        <f>Data_Historis_Mingguan!F53</f>
        <v>3529.7</v>
      </c>
      <c r="D53" s="10">
        <f>Data_Historis_Mingguan!F52</f>
        <v>3726.87</v>
      </c>
      <c r="E53" s="10">
        <f t="shared" si="0"/>
        <v>-197.17000000000007</v>
      </c>
    </row>
    <row r="54" spans="1:5" ht="16" x14ac:dyDescent="0.45">
      <c r="A54" s="7">
        <v>50</v>
      </c>
      <c r="B54" s="7" t="str">
        <f>Data_Historis_Mingguan!B54</f>
        <v>Sep 09, 2022</v>
      </c>
      <c r="C54" s="11">
        <f>Data_Historis_Mingguan!F54</f>
        <v>3514.42</v>
      </c>
      <c r="D54" s="11">
        <f>Data_Historis_Mingguan!F53</f>
        <v>3529.7</v>
      </c>
      <c r="E54" s="11">
        <f t="shared" si="0"/>
        <v>-15.279999999999745</v>
      </c>
    </row>
    <row r="55" spans="1:5" ht="16" x14ac:dyDescent="0.45">
      <c r="A55" s="4">
        <v>51</v>
      </c>
      <c r="B55" s="4" t="str">
        <f>Data_Historis_Mingguan!B55</f>
        <v>Sep 16, 2022</v>
      </c>
      <c r="C55" s="10">
        <f>Data_Historis_Mingguan!F55</f>
        <v>3600.41</v>
      </c>
      <c r="D55" s="10">
        <f>Data_Historis_Mingguan!F54</f>
        <v>3514.42</v>
      </c>
      <c r="E55" s="10">
        <f t="shared" si="0"/>
        <v>85.989999999999782</v>
      </c>
    </row>
    <row r="56" spans="1:5" ht="16" x14ac:dyDescent="0.45">
      <c r="A56" s="7">
        <v>52</v>
      </c>
      <c r="B56" s="7" t="str">
        <f>Data_Historis_Mingguan!B56</f>
        <v>Sep 23, 2022</v>
      </c>
      <c r="C56" s="11">
        <f>Data_Historis_Mingguan!F56</f>
        <v>3577.98</v>
      </c>
      <c r="D56" s="11">
        <f>Data_Historis_Mingguan!F55</f>
        <v>3600.41</v>
      </c>
      <c r="E56" s="11">
        <f t="shared" si="0"/>
        <v>-22.429999999999836</v>
      </c>
    </row>
    <row r="57" spans="1:5" ht="16" x14ac:dyDescent="0.45">
      <c r="A57" s="4">
        <v>53</v>
      </c>
      <c r="B57" s="4" t="str">
        <f>Data_Historis_Mingguan!B57</f>
        <v>Sep 30, 2022</v>
      </c>
      <c r="C57" s="10">
        <f>Data_Historis_Mingguan!F57</f>
        <v>3531.62</v>
      </c>
      <c r="D57" s="10">
        <f>Data_Historis_Mingguan!F56</f>
        <v>3577.98</v>
      </c>
      <c r="E57" s="10">
        <f t="shared" si="0"/>
        <v>-46.360000000000127</v>
      </c>
    </row>
    <row r="58" spans="1:5" ht="16" x14ac:dyDescent="0.45">
      <c r="A58" s="7">
        <v>54</v>
      </c>
      <c r="B58" s="7" t="str">
        <f>Data_Historis_Mingguan!B58</f>
        <v>Oct 07, 2022</v>
      </c>
      <c r="C58" s="11">
        <f>Data_Historis_Mingguan!F58</f>
        <v>3549.36</v>
      </c>
      <c r="D58" s="11">
        <f>Data_Historis_Mingguan!F57</f>
        <v>3531.62</v>
      </c>
      <c r="E58" s="11">
        <f t="shared" si="0"/>
        <v>17.740000000000236</v>
      </c>
    </row>
    <row r="59" spans="1:5" ht="16" x14ac:dyDescent="0.45">
      <c r="A59" s="4">
        <v>55</v>
      </c>
      <c r="B59" s="4" t="str">
        <f>Data_Historis_Mingguan!B59</f>
        <v>Oct 14, 2022</v>
      </c>
      <c r="C59" s="10">
        <f>Data_Historis_Mingguan!F59</f>
        <v>3701.47</v>
      </c>
      <c r="D59" s="10">
        <f>Data_Historis_Mingguan!F58</f>
        <v>3549.36</v>
      </c>
      <c r="E59" s="10">
        <f t="shared" si="0"/>
        <v>152.10999999999967</v>
      </c>
    </row>
    <row r="60" spans="1:5" ht="16" x14ac:dyDescent="0.45">
      <c r="A60" s="7">
        <v>56</v>
      </c>
      <c r="B60" s="7" t="str">
        <f>Data_Historis_Mingguan!B60</f>
        <v>Oct 21, 2022</v>
      </c>
      <c r="C60" s="11">
        <f>Data_Historis_Mingguan!F60</f>
        <v>3727.81</v>
      </c>
      <c r="D60" s="11">
        <f>Data_Historis_Mingguan!F59</f>
        <v>3701.47</v>
      </c>
      <c r="E60" s="11">
        <f t="shared" si="0"/>
        <v>26.340000000000146</v>
      </c>
    </row>
    <row r="61" spans="1:5" ht="16" x14ac:dyDescent="0.45">
      <c r="A61" s="4">
        <v>57</v>
      </c>
      <c r="B61" s="4" t="str">
        <f>Data_Historis_Mingguan!B61</f>
        <v>Oct 28, 2022</v>
      </c>
      <c r="C61" s="10">
        <f>Data_Historis_Mingguan!F61</f>
        <v>3704.15</v>
      </c>
      <c r="D61" s="10">
        <f>Data_Historis_Mingguan!F60</f>
        <v>3727.81</v>
      </c>
      <c r="E61" s="10">
        <f t="shared" si="0"/>
        <v>-23.659999999999854</v>
      </c>
    </row>
    <row r="62" spans="1:5" ht="16" x14ac:dyDescent="0.45">
      <c r="A62" s="7">
        <v>58</v>
      </c>
      <c r="B62" s="7" t="str">
        <f>Data_Historis_Mingguan!B62</f>
        <v>Nov 04, 2022</v>
      </c>
      <c r="C62" s="11">
        <f>Data_Historis_Mingguan!F62</f>
        <v>3689.08</v>
      </c>
      <c r="D62" s="11">
        <f>Data_Historis_Mingguan!F61</f>
        <v>3704.15</v>
      </c>
      <c r="E62" s="11">
        <f t="shared" si="0"/>
        <v>-15.070000000000164</v>
      </c>
    </row>
    <row r="63" spans="1:5" ht="16" x14ac:dyDescent="0.45">
      <c r="A63" s="4">
        <v>59</v>
      </c>
      <c r="B63" s="4" t="str">
        <f>Data_Historis_Mingguan!B63</f>
        <v>Nov 11, 2022</v>
      </c>
      <c r="C63" s="10">
        <f>Data_Historis_Mingguan!F63</f>
        <v>3744.02</v>
      </c>
      <c r="D63" s="10">
        <f>Data_Historis_Mingguan!F62</f>
        <v>3689.08</v>
      </c>
      <c r="E63" s="10">
        <f t="shared" si="0"/>
        <v>54.940000000000055</v>
      </c>
    </row>
    <row r="64" spans="1:5" ht="16" x14ac:dyDescent="0.45">
      <c r="A64" s="7">
        <v>60</v>
      </c>
      <c r="B64" s="7" t="str">
        <f>Data_Historis_Mingguan!B64</f>
        <v>Nov 18, 2022</v>
      </c>
      <c r="C64" s="11">
        <f>Data_Historis_Mingguan!F64</f>
        <v>3747.96</v>
      </c>
      <c r="D64" s="11">
        <f>Data_Historis_Mingguan!F63</f>
        <v>3744.02</v>
      </c>
      <c r="E64" s="11">
        <f t="shared" si="0"/>
        <v>3.9400000000000546</v>
      </c>
    </row>
    <row r="65" spans="1:5" ht="16" x14ac:dyDescent="0.45">
      <c r="A65" s="4">
        <v>61</v>
      </c>
      <c r="B65" s="4" t="str">
        <f>Data_Historis_Mingguan!B65</f>
        <v>Nov 25, 2022</v>
      </c>
      <c r="C65" s="10">
        <f>Data_Historis_Mingguan!F65</f>
        <v>3882.17</v>
      </c>
      <c r="D65" s="10">
        <f>Data_Historis_Mingguan!F64</f>
        <v>3747.96</v>
      </c>
      <c r="E65" s="10">
        <f t="shared" si="0"/>
        <v>134.21000000000004</v>
      </c>
    </row>
    <row r="66" spans="1:5" ht="16" x14ac:dyDescent="0.45">
      <c r="A66" s="7">
        <v>62</v>
      </c>
      <c r="B66" s="7" t="str">
        <f>Data_Historis_Mingguan!B66</f>
        <v>Dec 02, 2022</v>
      </c>
      <c r="C66" s="11">
        <f>Data_Historis_Mingguan!F66</f>
        <v>3927.13</v>
      </c>
      <c r="D66" s="11">
        <f>Data_Historis_Mingguan!F65</f>
        <v>3882.17</v>
      </c>
      <c r="E66" s="11">
        <f t="shared" si="0"/>
        <v>44.960000000000036</v>
      </c>
    </row>
    <row r="67" spans="1:5" ht="16" x14ac:dyDescent="0.45">
      <c r="A67" s="4">
        <v>63</v>
      </c>
      <c r="B67" s="4" t="str">
        <f>Data_Historis_Mingguan!B67</f>
        <v>Dec 09, 2022</v>
      </c>
      <c r="C67" s="10">
        <f>Data_Historis_Mingguan!F67</f>
        <v>4016.43</v>
      </c>
      <c r="D67" s="10">
        <f>Data_Historis_Mingguan!F66</f>
        <v>3927.13</v>
      </c>
      <c r="E67" s="10">
        <f t="shared" si="0"/>
        <v>89.299999999999727</v>
      </c>
    </row>
    <row r="68" spans="1:5" ht="16" x14ac:dyDescent="0.45">
      <c r="A68" s="7">
        <v>64</v>
      </c>
      <c r="B68" s="7" t="str">
        <f>Data_Historis_Mingguan!B68</f>
        <v>Dec 16, 2022</v>
      </c>
      <c r="C68" s="11">
        <f>Data_Historis_Mingguan!F68</f>
        <v>4007.04</v>
      </c>
      <c r="D68" s="11">
        <f>Data_Historis_Mingguan!F67</f>
        <v>4016.43</v>
      </c>
      <c r="E68" s="11">
        <f t="shared" si="0"/>
        <v>-9.3899999999998727</v>
      </c>
    </row>
    <row r="69" spans="1:5" ht="16" x14ac:dyDescent="0.45">
      <c r="A69" s="4">
        <v>65</v>
      </c>
      <c r="B69" s="4" t="str">
        <f>Data_Historis_Mingguan!B69</f>
        <v>Dec 23, 2022</v>
      </c>
      <c r="C69" s="10">
        <f>Data_Historis_Mingguan!F69</f>
        <v>4020.85</v>
      </c>
      <c r="D69" s="10">
        <f>Data_Historis_Mingguan!F68</f>
        <v>4007.04</v>
      </c>
      <c r="E69" s="10">
        <f t="shared" si="0"/>
        <v>13.809999999999945</v>
      </c>
    </row>
    <row r="70" spans="1:5" ht="16" x14ac:dyDescent="0.45">
      <c r="A70" s="7">
        <v>66</v>
      </c>
      <c r="B70" s="7" t="str">
        <f>Data_Historis_Mingguan!B70</f>
        <v>Dec 30, 2022</v>
      </c>
      <c r="C70" s="11">
        <f>Data_Historis_Mingguan!F70</f>
        <v>4004.66</v>
      </c>
      <c r="D70" s="11">
        <f>Data_Historis_Mingguan!F69</f>
        <v>4020.85</v>
      </c>
      <c r="E70" s="11">
        <f t="shared" ref="E70:E133" si="1">C70-D70</f>
        <v>-16.190000000000055</v>
      </c>
    </row>
    <row r="71" spans="1:5" ht="16" x14ac:dyDescent="0.45">
      <c r="A71" s="4">
        <v>67</v>
      </c>
      <c r="B71" s="4" t="str">
        <f>Data_Historis_Mingguan!B71</f>
        <v>Jan 06, 2023</v>
      </c>
      <c r="C71" s="10">
        <f>Data_Historis_Mingguan!F71</f>
        <v>3852.8</v>
      </c>
      <c r="D71" s="10">
        <f>Data_Historis_Mingguan!F70</f>
        <v>4004.66</v>
      </c>
      <c r="E71" s="10">
        <f t="shared" si="1"/>
        <v>-151.85999999999967</v>
      </c>
    </row>
    <row r="72" spans="1:5" ht="16" x14ac:dyDescent="0.45">
      <c r="A72" s="7">
        <v>68</v>
      </c>
      <c r="B72" s="7" t="str">
        <f>Data_Historis_Mingguan!B72</f>
        <v>Jan 13, 2023</v>
      </c>
      <c r="C72" s="11">
        <f>Data_Historis_Mingguan!F72</f>
        <v>3744.39</v>
      </c>
      <c r="D72" s="11">
        <f>Data_Historis_Mingguan!F71</f>
        <v>3852.8</v>
      </c>
      <c r="E72" s="11">
        <f t="shared" si="1"/>
        <v>-108.41000000000031</v>
      </c>
    </row>
    <row r="73" spans="1:5" ht="16" x14ac:dyDescent="0.45">
      <c r="A73" s="4">
        <v>69</v>
      </c>
      <c r="B73" s="4" t="str">
        <f>Data_Historis_Mingguan!B73</f>
        <v>Jan 20, 2023</v>
      </c>
      <c r="C73" s="10">
        <f>Data_Historis_Mingguan!F73</f>
        <v>3826.14</v>
      </c>
      <c r="D73" s="10">
        <f>Data_Historis_Mingguan!F72</f>
        <v>3744.39</v>
      </c>
      <c r="E73" s="10">
        <f t="shared" si="1"/>
        <v>81.75</v>
      </c>
    </row>
    <row r="74" spans="1:5" ht="16" x14ac:dyDescent="0.45">
      <c r="A74" s="7">
        <v>70</v>
      </c>
      <c r="B74" s="7" t="str">
        <f>Data_Historis_Mingguan!B74</f>
        <v>Jan 27, 2023</v>
      </c>
      <c r="C74" s="11">
        <f>Data_Historis_Mingguan!F74</f>
        <v>3813.57</v>
      </c>
      <c r="D74" s="11">
        <f>Data_Historis_Mingguan!F73</f>
        <v>3826.14</v>
      </c>
      <c r="E74" s="11">
        <f t="shared" si="1"/>
        <v>-12.569999999999709</v>
      </c>
    </row>
    <row r="75" spans="1:5" ht="16" x14ac:dyDescent="0.45">
      <c r="A75" s="4">
        <v>71</v>
      </c>
      <c r="B75" s="4" t="str">
        <f>Data_Historis_Mingguan!B75</f>
        <v>Feb 03, 2023</v>
      </c>
      <c r="C75" s="10">
        <f>Data_Historis_Mingguan!F75</f>
        <v>3838.04</v>
      </c>
      <c r="D75" s="10">
        <f>Data_Historis_Mingguan!F74</f>
        <v>3813.57</v>
      </c>
      <c r="E75" s="10">
        <f t="shared" si="1"/>
        <v>24.4699999999998</v>
      </c>
    </row>
    <row r="76" spans="1:5" ht="16" x14ac:dyDescent="0.45">
      <c r="A76" s="7">
        <v>72</v>
      </c>
      <c r="B76" s="7" t="str">
        <f>Data_Historis_Mingguan!B76</f>
        <v>Feb 10, 2023</v>
      </c>
      <c r="C76" s="11">
        <f>Data_Historis_Mingguan!F76</f>
        <v>3901.99</v>
      </c>
      <c r="D76" s="11">
        <f>Data_Historis_Mingguan!F75</f>
        <v>3838.04</v>
      </c>
      <c r="E76" s="11">
        <f t="shared" si="1"/>
        <v>63.949999999999818</v>
      </c>
    </row>
    <row r="77" spans="1:5" ht="16" x14ac:dyDescent="0.45">
      <c r="A77" s="4">
        <v>73</v>
      </c>
      <c r="B77" s="4" t="str">
        <f>Data_Historis_Mingguan!B77</f>
        <v>Feb 17, 2023</v>
      </c>
      <c r="C77" s="10">
        <f>Data_Historis_Mingguan!F77</f>
        <v>4006.95</v>
      </c>
      <c r="D77" s="10">
        <f>Data_Historis_Mingguan!F76</f>
        <v>3901.99</v>
      </c>
      <c r="E77" s="10">
        <f t="shared" si="1"/>
        <v>104.96000000000004</v>
      </c>
    </row>
    <row r="78" spans="1:5" ht="16" x14ac:dyDescent="0.45">
      <c r="A78" s="7">
        <v>74</v>
      </c>
      <c r="B78" s="7" t="str">
        <f>Data_Historis_Mingguan!B78</f>
        <v>Feb 24, 2023</v>
      </c>
      <c r="C78" s="11">
        <f>Data_Historis_Mingguan!F78</f>
        <v>4019.01</v>
      </c>
      <c r="D78" s="11">
        <f>Data_Historis_Mingguan!F77</f>
        <v>4006.95</v>
      </c>
      <c r="E78" s="11">
        <f t="shared" si="1"/>
        <v>12.0600000000004</v>
      </c>
    </row>
    <row r="79" spans="1:5" ht="16" x14ac:dyDescent="0.45">
      <c r="A79" s="4">
        <v>75</v>
      </c>
      <c r="B79" s="4" t="str">
        <f>Data_Historis_Mingguan!B79</f>
        <v>Mar 03, 2023</v>
      </c>
      <c r="C79" s="10">
        <f>Data_Historis_Mingguan!F79</f>
        <v>4061.05</v>
      </c>
      <c r="D79" s="10">
        <f>Data_Historis_Mingguan!F78</f>
        <v>4019.01</v>
      </c>
      <c r="E79" s="10">
        <f t="shared" si="1"/>
        <v>42.039999999999964</v>
      </c>
    </row>
    <row r="80" spans="1:5" ht="16" x14ac:dyDescent="0.45">
      <c r="A80" s="7">
        <v>76</v>
      </c>
      <c r="B80" s="7" t="str">
        <f>Data_Historis_Mingguan!B80</f>
        <v>Mar 10, 2023</v>
      </c>
      <c r="C80" s="11">
        <f>Data_Historis_Mingguan!F80</f>
        <v>4103.5600000000004</v>
      </c>
      <c r="D80" s="11">
        <f>Data_Historis_Mingguan!F79</f>
        <v>4061.05</v>
      </c>
      <c r="E80" s="11">
        <f t="shared" si="1"/>
        <v>42.510000000000218</v>
      </c>
    </row>
    <row r="81" spans="1:5" ht="16" x14ac:dyDescent="0.45">
      <c r="A81" s="4">
        <v>77</v>
      </c>
      <c r="B81" s="4" t="str">
        <f>Data_Historis_Mingguan!B81</f>
        <v>Mar 17, 2023</v>
      </c>
      <c r="C81" s="10">
        <f>Data_Historis_Mingguan!F81</f>
        <v>4023</v>
      </c>
      <c r="D81" s="10">
        <f>Data_Historis_Mingguan!F80</f>
        <v>4103.5600000000004</v>
      </c>
      <c r="E81" s="10">
        <f t="shared" si="1"/>
        <v>-80.5600000000004</v>
      </c>
    </row>
    <row r="82" spans="1:5" ht="16" x14ac:dyDescent="0.45">
      <c r="A82" s="7">
        <v>78</v>
      </c>
      <c r="B82" s="7" t="str">
        <f>Data_Historis_Mingguan!B82</f>
        <v>Mar 24, 2023</v>
      </c>
      <c r="C82" s="11">
        <f>Data_Historis_Mingguan!F82</f>
        <v>4155.25</v>
      </c>
      <c r="D82" s="11">
        <f>Data_Historis_Mingguan!F81</f>
        <v>4023</v>
      </c>
      <c r="E82" s="11">
        <f t="shared" si="1"/>
        <v>132.25</v>
      </c>
    </row>
    <row r="83" spans="1:5" ht="16" x14ac:dyDescent="0.45">
      <c r="A83" s="4">
        <v>79</v>
      </c>
      <c r="B83" s="4" t="str">
        <f>Data_Historis_Mingguan!B83</f>
        <v>Mar 31, 2023</v>
      </c>
      <c r="C83" s="10">
        <f>Data_Historis_Mingguan!F83</f>
        <v>4081.78</v>
      </c>
      <c r="D83" s="10">
        <f>Data_Historis_Mingguan!F82</f>
        <v>4155.25</v>
      </c>
      <c r="E83" s="10">
        <f t="shared" si="1"/>
        <v>-73.4699999999998</v>
      </c>
    </row>
    <row r="84" spans="1:5" ht="16" x14ac:dyDescent="0.45">
      <c r="A84" s="7">
        <v>80</v>
      </c>
      <c r="B84" s="7" t="str">
        <f>Data_Historis_Mingguan!B84</f>
        <v>Apr 07, 2023</v>
      </c>
      <c r="C84" s="11">
        <f>Data_Historis_Mingguan!F84</f>
        <v>3951.28</v>
      </c>
      <c r="D84" s="11">
        <f>Data_Historis_Mingguan!F83</f>
        <v>4081.78</v>
      </c>
      <c r="E84" s="11">
        <f t="shared" si="1"/>
        <v>-130.5</v>
      </c>
    </row>
    <row r="85" spans="1:5" ht="16" x14ac:dyDescent="0.45">
      <c r="A85" s="4">
        <v>81</v>
      </c>
      <c r="B85" s="4" t="str">
        <f>Data_Historis_Mingguan!B85</f>
        <v>Apr 14, 2023</v>
      </c>
      <c r="C85" s="10">
        <f>Data_Historis_Mingguan!F85</f>
        <v>3834.81</v>
      </c>
      <c r="D85" s="10">
        <f>Data_Historis_Mingguan!F84</f>
        <v>3951.28</v>
      </c>
      <c r="E85" s="10">
        <f t="shared" si="1"/>
        <v>-116.47000000000025</v>
      </c>
    </row>
    <row r="86" spans="1:5" ht="16" x14ac:dyDescent="0.45">
      <c r="A86" s="7">
        <v>82</v>
      </c>
      <c r="B86" s="7" t="str">
        <f>Data_Historis_Mingguan!B86</f>
        <v>Apr 21, 2023</v>
      </c>
      <c r="C86" s="11">
        <f>Data_Historis_Mingguan!F86</f>
        <v>3931.79</v>
      </c>
      <c r="D86" s="11">
        <f>Data_Historis_Mingguan!F85</f>
        <v>3834.81</v>
      </c>
      <c r="E86" s="11">
        <f t="shared" si="1"/>
        <v>96.980000000000018</v>
      </c>
    </row>
    <row r="87" spans="1:5" ht="16" x14ac:dyDescent="0.45">
      <c r="A87" s="4">
        <v>83</v>
      </c>
      <c r="B87" s="4" t="str">
        <f>Data_Historis_Mingguan!B87</f>
        <v>Apr 28, 2023</v>
      </c>
      <c r="C87" s="10">
        <f>Data_Historis_Mingguan!F87</f>
        <v>3896.88</v>
      </c>
      <c r="D87" s="10">
        <f>Data_Historis_Mingguan!F86</f>
        <v>3931.79</v>
      </c>
      <c r="E87" s="10">
        <f t="shared" si="1"/>
        <v>-34.909999999999854</v>
      </c>
    </row>
    <row r="88" spans="1:5" ht="16" x14ac:dyDescent="0.45">
      <c r="A88" s="7">
        <v>84</v>
      </c>
      <c r="B88" s="7" t="str">
        <f>Data_Historis_Mingguan!B88</f>
        <v>May 05, 2023</v>
      </c>
      <c r="C88" s="11">
        <f>Data_Historis_Mingguan!F88</f>
        <v>3784.69</v>
      </c>
      <c r="D88" s="11">
        <f>Data_Historis_Mingguan!F87</f>
        <v>3896.88</v>
      </c>
      <c r="E88" s="11">
        <f t="shared" si="1"/>
        <v>-112.19000000000005</v>
      </c>
    </row>
    <row r="89" spans="1:5" ht="16" x14ac:dyDescent="0.45">
      <c r="A89" s="4">
        <v>85</v>
      </c>
      <c r="B89" s="4" t="str">
        <f>Data_Historis_Mingguan!B89</f>
        <v>May 12, 2023</v>
      </c>
      <c r="C89" s="10">
        <f>Data_Historis_Mingguan!F89</f>
        <v>4055.61</v>
      </c>
      <c r="D89" s="10">
        <f>Data_Historis_Mingguan!F88</f>
        <v>3784.69</v>
      </c>
      <c r="E89" s="10">
        <f t="shared" si="1"/>
        <v>270.92000000000007</v>
      </c>
    </row>
    <row r="90" spans="1:5" ht="16" x14ac:dyDescent="0.45">
      <c r="A90" s="7">
        <v>86</v>
      </c>
      <c r="B90" s="7" t="str">
        <f>Data_Historis_Mingguan!B90</f>
        <v>May 19, 2023</v>
      </c>
      <c r="C90" s="11">
        <f>Data_Historis_Mingguan!F90</f>
        <v>4123.67</v>
      </c>
      <c r="D90" s="11">
        <f>Data_Historis_Mingguan!F89</f>
        <v>4055.61</v>
      </c>
      <c r="E90" s="11">
        <f t="shared" si="1"/>
        <v>68.059999999999945</v>
      </c>
    </row>
    <row r="91" spans="1:5" ht="16" x14ac:dyDescent="0.45">
      <c r="A91" s="4">
        <v>87</v>
      </c>
      <c r="B91" s="4" t="str">
        <f>Data_Historis_Mingguan!B91</f>
        <v>May 26, 2023</v>
      </c>
      <c r="C91" s="10">
        <f>Data_Historis_Mingguan!F91</f>
        <v>4202.55</v>
      </c>
      <c r="D91" s="10">
        <f>Data_Historis_Mingguan!F90</f>
        <v>4123.67</v>
      </c>
      <c r="E91" s="10">
        <f t="shared" si="1"/>
        <v>78.880000000000109</v>
      </c>
    </row>
    <row r="92" spans="1:5" ht="16" x14ac:dyDescent="0.45">
      <c r="A92" s="7">
        <v>88</v>
      </c>
      <c r="B92" s="7" t="str">
        <f>Data_Historis_Mingguan!B92</f>
        <v>Jun 02, 2023</v>
      </c>
      <c r="C92" s="11">
        <f>Data_Historis_Mingguan!F92</f>
        <v>4239.99</v>
      </c>
      <c r="D92" s="11">
        <f>Data_Historis_Mingguan!F91</f>
        <v>4202.55</v>
      </c>
      <c r="E92" s="11">
        <f t="shared" si="1"/>
        <v>37.4399999999996</v>
      </c>
    </row>
    <row r="93" spans="1:5" ht="16" x14ac:dyDescent="0.45">
      <c r="A93" s="4">
        <v>89</v>
      </c>
      <c r="B93" s="4" t="str">
        <f>Data_Historis_Mingguan!B93</f>
        <v>Jun 09, 2023</v>
      </c>
      <c r="C93" s="10">
        <f>Data_Historis_Mingguan!F93</f>
        <v>4173.55</v>
      </c>
      <c r="D93" s="10">
        <f>Data_Historis_Mingguan!F92</f>
        <v>4239.99</v>
      </c>
      <c r="E93" s="10">
        <f t="shared" si="1"/>
        <v>-66.4399999999996</v>
      </c>
    </row>
    <row r="94" spans="1:5" ht="16" x14ac:dyDescent="0.45">
      <c r="A94" s="7">
        <v>90</v>
      </c>
      <c r="B94" s="7" t="str">
        <f>Data_Historis_Mingguan!B94</f>
        <v>Jun 16, 2023</v>
      </c>
      <c r="C94" s="11">
        <f>Data_Historis_Mingguan!F94</f>
        <v>4178.42</v>
      </c>
      <c r="D94" s="11">
        <f>Data_Historis_Mingguan!F93</f>
        <v>4173.55</v>
      </c>
      <c r="E94" s="11">
        <f t="shared" si="1"/>
        <v>4.8699999999998909</v>
      </c>
    </row>
    <row r="95" spans="1:5" ht="16" x14ac:dyDescent="0.45">
      <c r="A95" s="4">
        <v>91</v>
      </c>
      <c r="B95" s="4" t="str">
        <f>Data_Historis_Mingguan!B95</f>
        <v>Jun 23, 2023</v>
      </c>
      <c r="C95" s="10">
        <f>Data_Historis_Mingguan!F95</f>
        <v>4338.17</v>
      </c>
      <c r="D95" s="10">
        <f>Data_Historis_Mingguan!F94</f>
        <v>4178.42</v>
      </c>
      <c r="E95" s="10">
        <f t="shared" si="1"/>
        <v>159.75</v>
      </c>
    </row>
    <row r="96" spans="1:5" ht="16" x14ac:dyDescent="0.45">
      <c r="A96" s="7">
        <v>92</v>
      </c>
      <c r="B96" s="7" t="str">
        <f>Data_Historis_Mingguan!B96</f>
        <v>Jun 30, 2023</v>
      </c>
      <c r="C96" s="11">
        <f>Data_Historis_Mingguan!F96</f>
        <v>4338.32</v>
      </c>
      <c r="D96" s="11">
        <f>Data_Historis_Mingguan!F95</f>
        <v>4338.17</v>
      </c>
      <c r="E96" s="11">
        <f t="shared" si="1"/>
        <v>0.1499999999996362</v>
      </c>
    </row>
    <row r="97" spans="1:5" ht="16" x14ac:dyDescent="0.45">
      <c r="A97" s="4">
        <v>93</v>
      </c>
      <c r="B97" s="4" t="str">
        <f>Data_Historis_Mingguan!B97</f>
        <v>Jul 07, 2023</v>
      </c>
      <c r="C97" s="10">
        <f>Data_Historis_Mingguan!F97</f>
        <v>4373.96</v>
      </c>
      <c r="D97" s="10">
        <f>Data_Historis_Mingguan!F96</f>
        <v>4338.32</v>
      </c>
      <c r="E97" s="10">
        <f t="shared" si="1"/>
        <v>35.640000000000327</v>
      </c>
    </row>
    <row r="98" spans="1:5" ht="16" x14ac:dyDescent="0.45">
      <c r="A98" s="7">
        <v>94</v>
      </c>
      <c r="B98" s="7" t="str">
        <f>Data_Historis_Mingguan!B98</f>
        <v>Jul 14, 2023</v>
      </c>
      <c r="C98" s="11">
        <f>Data_Historis_Mingguan!F98</f>
        <v>4300.2</v>
      </c>
      <c r="D98" s="11">
        <f>Data_Historis_Mingguan!F97</f>
        <v>4373.96</v>
      </c>
      <c r="E98" s="11">
        <f t="shared" si="1"/>
        <v>-73.760000000000218</v>
      </c>
    </row>
    <row r="99" spans="1:5" ht="16" x14ac:dyDescent="0.45">
      <c r="A99" s="4">
        <v>95</v>
      </c>
      <c r="B99" s="4" t="str">
        <f>Data_Historis_Mingguan!B99</f>
        <v>Jul 21, 2023</v>
      </c>
      <c r="C99" s="10">
        <f>Data_Historis_Mingguan!F99</f>
        <v>4421.8</v>
      </c>
      <c r="D99" s="10">
        <f>Data_Historis_Mingguan!F98</f>
        <v>4300.2</v>
      </c>
      <c r="E99" s="10">
        <f t="shared" si="1"/>
        <v>121.60000000000036</v>
      </c>
    </row>
    <row r="100" spans="1:5" ht="16" x14ac:dyDescent="0.45">
      <c r="A100" s="7">
        <v>96</v>
      </c>
      <c r="B100" s="7" t="str">
        <f>Data_Historis_Mingguan!B100</f>
        <v>Jul 28, 2023</v>
      </c>
      <c r="C100" s="11">
        <f>Data_Historis_Mingguan!F100</f>
        <v>4416.1499999999996</v>
      </c>
      <c r="D100" s="11">
        <f>Data_Historis_Mingguan!F99</f>
        <v>4421.8</v>
      </c>
      <c r="E100" s="11">
        <f t="shared" si="1"/>
        <v>-5.6500000000005457</v>
      </c>
    </row>
    <row r="101" spans="1:5" ht="16" x14ac:dyDescent="0.45">
      <c r="A101" s="4">
        <v>97</v>
      </c>
      <c r="B101" s="4" t="str">
        <f>Data_Historis_Mingguan!B101</f>
        <v>Aug 04, 2023</v>
      </c>
      <c r="C101" s="10">
        <f>Data_Historis_Mingguan!F101</f>
        <v>4494.58</v>
      </c>
      <c r="D101" s="10">
        <f>Data_Historis_Mingguan!F100</f>
        <v>4416.1499999999996</v>
      </c>
      <c r="E101" s="10">
        <f t="shared" si="1"/>
        <v>78.430000000000291</v>
      </c>
    </row>
    <row r="102" spans="1:5" ht="16" x14ac:dyDescent="0.45">
      <c r="A102" s="7">
        <v>98</v>
      </c>
      <c r="B102" s="7" t="str">
        <f>Data_Historis_Mingguan!B102</f>
        <v>Aug 11, 2023</v>
      </c>
      <c r="C102" s="11">
        <f>Data_Historis_Mingguan!F102</f>
        <v>4380.33</v>
      </c>
      <c r="D102" s="11">
        <f>Data_Historis_Mingguan!F101</f>
        <v>4494.58</v>
      </c>
      <c r="E102" s="11">
        <f t="shared" si="1"/>
        <v>-114.25</v>
      </c>
    </row>
    <row r="103" spans="1:5" ht="16" x14ac:dyDescent="0.45">
      <c r="A103" s="4">
        <v>99</v>
      </c>
      <c r="B103" s="4" t="str">
        <f>Data_Historis_Mingguan!B103</f>
        <v>Aug 18, 2023</v>
      </c>
      <c r="C103" s="10">
        <f>Data_Historis_Mingguan!F103</f>
        <v>4324.54</v>
      </c>
      <c r="D103" s="10">
        <f>Data_Historis_Mingguan!F102</f>
        <v>4380.33</v>
      </c>
      <c r="E103" s="10">
        <f t="shared" si="1"/>
        <v>-55.789999999999964</v>
      </c>
    </row>
    <row r="104" spans="1:5" ht="16" x14ac:dyDescent="0.45">
      <c r="A104" s="7">
        <v>100</v>
      </c>
      <c r="B104" s="7" t="str">
        <f>Data_Historis_Mingguan!B104</f>
        <v>Aug 25, 2023</v>
      </c>
      <c r="C104" s="11">
        <f>Data_Historis_Mingguan!F104</f>
        <v>4317.55</v>
      </c>
      <c r="D104" s="11">
        <f>Data_Historis_Mingguan!F103</f>
        <v>4324.54</v>
      </c>
      <c r="E104" s="11">
        <f t="shared" si="1"/>
        <v>-6.9899999999997817</v>
      </c>
    </row>
    <row r="105" spans="1:5" ht="16" x14ac:dyDescent="0.45">
      <c r="A105" s="4">
        <v>101</v>
      </c>
      <c r="B105" s="4" t="str">
        <f>Data_Historis_Mingguan!B105</f>
        <v>Sep 01, 2023</v>
      </c>
      <c r="C105" s="10">
        <f>Data_Historis_Mingguan!F105</f>
        <v>4226.05</v>
      </c>
      <c r="D105" s="10">
        <f>Data_Historis_Mingguan!F104</f>
        <v>4317.55</v>
      </c>
      <c r="E105" s="10">
        <f t="shared" si="1"/>
        <v>-91.5</v>
      </c>
    </row>
    <row r="106" spans="1:5" ht="16" x14ac:dyDescent="0.45">
      <c r="A106" s="7">
        <v>102</v>
      </c>
      <c r="B106" s="7" t="str">
        <f>Data_Historis_Mingguan!B106</f>
        <v>Sep 08, 2023</v>
      </c>
      <c r="C106" s="11">
        <f>Data_Historis_Mingguan!F106</f>
        <v>4199.72</v>
      </c>
      <c r="D106" s="11">
        <f>Data_Historis_Mingguan!F105</f>
        <v>4226.05</v>
      </c>
      <c r="E106" s="11">
        <f t="shared" si="1"/>
        <v>-26.329999999999927</v>
      </c>
    </row>
    <row r="107" spans="1:5" ht="16" x14ac:dyDescent="0.45">
      <c r="A107" s="4">
        <v>103</v>
      </c>
      <c r="B107" s="4" t="str">
        <f>Data_Historis_Mingguan!B107</f>
        <v>Sep 15, 2023</v>
      </c>
      <c r="C107" s="10">
        <f>Data_Historis_Mingguan!F107</f>
        <v>4383.5</v>
      </c>
      <c r="D107" s="10">
        <f>Data_Historis_Mingguan!F106</f>
        <v>4199.72</v>
      </c>
      <c r="E107" s="10">
        <f t="shared" si="1"/>
        <v>183.77999999999975</v>
      </c>
    </row>
    <row r="108" spans="1:5" ht="16" x14ac:dyDescent="0.45">
      <c r="A108" s="7">
        <v>104</v>
      </c>
      <c r="B108" s="7" t="str">
        <f>Data_Historis_Mingguan!B108</f>
        <v>Sep 22, 2023</v>
      </c>
      <c r="C108" s="11">
        <f>Data_Historis_Mingguan!F108</f>
        <v>4408.4399999999996</v>
      </c>
      <c r="D108" s="11">
        <f>Data_Historis_Mingguan!F107</f>
        <v>4383.5</v>
      </c>
      <c r="E108" s="11">
        <f t="shared" si="1"/>
        <v>24.9399999999996</v>
      </c>
    </row>
    <row r="109" spans="1:5" ht="16" x14ac:dyDescent="0.45">
      <c r="A109" s="4">
        <v>105</v>
      </c>
      <c r="B109" s="4" t="str">
        <f>Data_Historis_Mingguan!B109</f>
        <v>Sep 29, 2023</v>
      </c>
      <c r="C109" s="10">
        <f>Data_Historis_Mingguan!F109</f>
        <v>4398.09</v>
      </c>
      <c r="D109" s="10">
        <f>Data_Historis_Mingguan!F108</f>
        <v>4408.4399999999996</v>
      </c>
      <c r="E109" s="10">
        <f t="shared" si="1"/>
        <v>-10.349999999999454</v>
      </c>
    </row>
    <row r="110" spans="1:5" ht="16" x14ac:dyDescent="0.45">
      <c r="A110" s="7">
        <v>106</v>
      </c>
      <c r="B110" s="7" t="str">
        <f>Data_Historis_Mingguan!B110</f>
        <v>Oct 06, 2023</v>
      </c>
      <c r="C110" s="11">
        <f>Data_Historis_Mingguan!F110</f>
        <v>4371.57</v>
      </c>
      <c r="D110" s="11">
        <f>Data_Historis_Mingguan!F109</f>
        <v>4398.09</v>
      </c>
      <c r="E110" s="11">
        <f t="shared" si="1"/>
        <v>-26.520000000000437</v>
      </c>
    </row>
    <row r="111" spans="1:5" ht="16" x14ac:dyDescent="0.45">
      <c r="A111" s="4">
        <v>107</v>
      </c>
      <c r="B111" s="4" t="str">
        <f>Data_Historis_Mingguan!B111</f>
        <v>Oct 13, 2023</v>
      </c>
      <c r="C111" s="10">
        <f>Data_Historis_Mingguan!F111</f>
        <v>4296.0600000000004</v>
      </c>
      <c r="D111" s="10">
        <f>Data_Historis_Mingguan!F110</f>
        <v>4371.57</v>
      </c>
      <c r="E111" s="10">
        <f t="shared" si="1"/>
        <v>-75.509999999999309</v>
      </c>
    </row>
    <row r="112" spans="1:5" ht="16" x14ac:dyDescent="0.45">
      <c r="A112" s="7">
        <v>108</v>
      </c>
      <c r="B112" s="7" t="str">
        <f>Data_Historis_Mingguan!B112</f>
        <v>Oct 20, 2023</v>
      </c>
      <c r="C112" s="11">
        <f>Data_Historis_Mingguan!F112</f>
        <v>4331.7</v>
      </c>
      <c r="D112" s="11">
        <f>Data_Historis_Mingguan!F111</f>
        <v>4296.0600000000004</v>
      </c>
      <c r="E112" s="11">
        <f t="shared" si="1"/>
        <v>35.639999999999418</v>
      </c>
    </row>
    <row r="113" spans="1:5" ht="16" x14ac:dyDescent="0.45">
      <c r="A113" s="4">
        <v>109</v>
      </c>
      <c r="B113" s="4" t="str">
        <f>Data_Historis_Mingguan!B113</f>
        <v>Oct 27, 2023</v>
      </c>
      <c r="C113" s="10">
        <f>Data_Historis_Mingguan!F113</f>
        <v>4338.75</v>
      </c>
      <c r="D113" s="10">
        <f>Data_Historis_Mingguan!F112</f>
        <v>4331.7</v>
      </c>
      <c r="E113" s="10">
        <f t="shared" si="1"/>
        <v>7.0500000000001819</v>
      </c>
    </row>
    <row r="114" spans="1:5" ht="16" x14ac:dyDescent="0.45">
      <c r="A114" s="7">
        <v>110</v>
      </c>
      <c r="B114" s="7" t="str">
        <f>Data_Historis_Mingguan!B114</f>
        <v>Nov 03, 2023</v>
      </c>
      <c r="C114" s="11">
        <f>Data_Historis_Mingguan!F114</f>
        <v>4454.7299999999996</v>
      </c>
      <c r="D114" s="11">
        <f>Data_Historis_Mingguan!F113</f>
        <v>4338.75</v>
      </c>
      <c r="E114" s="11">
        <f t="shared" si="1"/>
        <v>115.97999999999956</v>
      </c>
    </row>
    <row r="115" spans="1:5" ht="16" x14ac:dyDescent="0.45">
      <c r="A115" s="4">
        <v>111</v>
      </c>
      <c r="B115" s="4" t="str">
        <f>Data_Historis_Mingguan!B115</f>
        <v>Nov 10, 2023</v>
      </c>
      <c r="C115" s="10">
        <f>Data_Historis_Mingguan!F115</f>
        <v>4471.05</v>
      </c>
      <c r="D115" s="10">
        <f>Data_Historis_Mingguan!F114</f>
        <v>4454.7299999999996</v>
      </c>
      <c r="E115" s="10">
        <f t="shared" si="1"/>
        <v>16.320000000000618</v>
      </c>
    </row>
    <row r="116" spans="1:5" ht="16" x14ac:dyDescent="0.45">
      <c r="A116" s="7">
        <v>112</v>
      </c>
      <c r="B116" s="7" t="str">
        <f>Data_Historis_Mingguan!B116</f>
        <v>Nov 17, 2023</v>
      </c>
      <c r="C116" s="11">
        <f>Data_Historis_Mingguan!F116</f>
        <v>4478.96</v>
      </c>
      <c r="D116" s="11">
        <f>Data_Historis_Mingguan!F115</f>
        <v>4471.05</v>
      </c>
      <c r="E116" s="11">
        <f t="shared" si="1"/>
        <v>7.9099999999998545</v>
      </c>
    </row>
    <row r="117" spans="1:5" ht="16" x14ac:dyDescent="0.45">
      <c r="A117" s="4">
        <v>113</v>
      </c>
      <c r="B117" s="4" t="str">
        <f>Data_Historis_Mingguan!B117</f>
        <v>Nov 24, 2023</v>
      </c>
      <c r="C117" s="10">
        <f>Data_Historis_Mingguan!F117</f>
        <v>4501.07</v>
      </c>
      <c r="D117" s="10">
        <f>Data_Historis_Mingguan!F116</f>
        <v>4478.96</v>
      </c>
      <c r="E117" s="10">
        <f t="shared" si="1"/>
        <v>22.109999999999673</v>
      </c>
    </row>
    <row r="118" spans="1:5" ht="16" x14ac:dyDescent="0.45">
      <c r="A118" s="7">
        <v>114</v>
      </c>
      <c r="B118" s="7" t="str">
        <f>Data_Historis_Mingguan!B118</f>
        <v>Dec 01, 2023</v>
      </c>
      <c r="C118" s="11">
        <f>Data_Historis_Mingguan!F118</f>
        <v>4354.26</v>
      </c>
      <c r="D118" s="11">
        <f>Data_Historis_Mingguan!F117</f>
        <v>4501.07</v>
      </c>
      <c r="E118" s="11">
        <f t="shared" si="1"/>
        <v>-146.80999999999949</v>
      </c>
    </row>
    <row r="119" spans="1:5" ht="16" x14ac:dyDescent="0.45">
      <c r="A119" s="4">
        <v>115</v>
      </c>
      <c r="B119" s="4" t="str">
        <f>Data_Historis_Mingguan!B119</f>
        <v>Dec 08, 2023</v>
      </c>
      <c r="C119" s="10">
        <f>Data_Historis_Mingguan!F119</f>
        <v>4406.3599999999997</v>
      </c>
      <c r="D119" s="10">
        <f>Data_Historis_Mingguan!F118</f>
        <v>4354.26</v>
      </c>
      <c r="E119" s="10">
        <f t="shared" si="1"/>
        <v>52.099999999999454</v>
      </c>
    </row>
    <row r="120" spans="1:5" ht="16" x14ac:dyDescent="0.45">
      <c r="A120" s="7">
        <v>116</v>
      </c>
      <c r="B120" s="7" t="str">
        <f>Data_Historis_Mingguan!B120</f>
        <v>Dec 15, 2023</v>
      </c>
      <c r="C120" s="11">
        <f>Data_Historis_Mingguan!F120</f>
        <v>4331.28</v>
      </c>
      <c r="D120" s="11">
        <f>Data_Historis_Mingguan!F119</f>
        <v>4406.3599999999997</v>
      </c>
      <c r="E120" s="11">
        <f t="shared" si="1"/>
        <v>-75.079999999999927</v>
      </c>
    </row>
    <row r="121" spans="1:5" ht="16" x14ac:dyDescent="0.45">
      <c r="A121" s="4">
        <v>117</v>
      </c>
      <c r="B121" s="4" t="str">
        <f>Data_Historis_Mingguan!B121</f>
        <v>Dec 22, 2023</v>
      </c>
      <c r="C121" s="10">
        <f>Data_Historis_Mingguan!F121</f>
        <v>4386.66</v>
      </c>
      <c r="D121" s="10">
        <f>Data_Historis_Mingguan!F120</f>
        <v>4331.28</v>
      </c>
      <c r="E121" s="10">
        <f t="shared" si="1"/>
        <v>55.380000000000109</v>
      </c>
    </row>
    <row r="122" spans="1:5" ht="16" x14ac:dyDescent="0.45">
      <c r="A122" s="7">
        <v>118</v>
      </c>
      <c r="B122" s="7" t="str">
        <f>Data_Historis_Mingguan!B122</f>
        <v>Dec 29, 2023</v>
      </c>
      <c r="C122" s="11">
        <f>Data_Historis_Mingguan!F122</f>
        <v>4433.83</v>
      </c>
      <c r="D122" s="11">
        <f>Data_Historis_Mingguan!F121</f>
        <v>4386.66</v>
      </c>
      <c r="E122" s="11">
        <f t="shared" si="1"/>
        <v>47.170000000000073</v>
      </c>
    </row>
    <row r="123" spans="1:5" ht="16" x14ac:dyDescent="0.45">
      <c r="A123" s="4">
        <v>119</v>
      </c>
      <c r="B123" s="4" t="str">
        <f>Data_Historis_Mingguan!B123</f>
        <v>Jan 05, 2024</v>
      </c>
      <c r="C123" s="10">
        <f>Data_Historis_Mingguan!F123</f>
        <v>4432.07</v>
      </c>
      <c r="D123" s="10">
        <f>Data_Historis_Mingguan!F122</f>
        <v>4433.83</v>
      </c>
      <c r="E123" s="10">
        <f t="shared" si="1"/>
        <v>-1.7600000000002183</v>
      </c>
    </row>
    <row r="124" spans="1:5" ht="16" x14ac:dyDescent="0.45">
      <c r="A124" s="7">
        <v>120</v>
      </c>
      <c r="B124" s="7" t="str">
        <f>Data_Historis_Mingguan!B124</f>
        <v>Jan 12, 2024</v>
      </c>
      <c r="C124" s="11">
        <f>Data_Historis_Mingguan!F124</f>
        <v>4415.32</v>
      </c>
      <c r="D124" s="11">
        <f>Data_Historis_Mingguan!F123</f>
        <v>4432.07</v>
      </c>
      <c r="E124" s="11">
        <f t="shared" si="1"/>
        <v>-16.75</v>
      </c>
    </row>
    <row r="125" spans="1:5" ht="16" x14ac:dyDescent="0.45">
      <c r="A125" s="4">
        <v>121</v>
      </c>
      <c r="B125" s="4" t="str">
        <f>Data_Historis_Mingguan!B125</f>
        <v>Jan 19, 2024</v>
      </c>
      <c r="C125" s="10">
        <f>Data_Historis_Mingguan!F125</f>
        <v>4452.8</v>
      </c>
      <c r="D125" s="10">
        <f>Data_Historis_Mingguan!F124</f>
        <v>4415.32</v>
      </c>
      <c r="E125" s="10">
        <f t="shared" si="1"/>
        <v>37.480000000000473</v>
      </c>
    </row>
    <row r="126" spans="1:5" ht="16" x14ac:dyDescent="0.45">
      <c r="A126" s="7">
        <v>122</v>
      </c>
      <c r="B126" s="7" t="str">
        <f>Data_Historis_Mingguan!B126</f>
        <v>Jan 26, 2024</v>
      </c>
      <c r="C126" s="11">
        <f>Data_Historis_Mingguan!F126</f>
        <v>4498.16</v>
      </c>
      <c r="D126" s="11">
        <f>Data_Historis_Mingguan!F125</f>
        <v>4452.8</v>
      </c>
      <c r="E126" s="11">
        <f t="shared" si="1"/>
        <v>45.359999999999673</v>
      </c>
    </row>
    <row r="127" spans="1:5" ht="16" x14ac:dyDescent="0.45">
      <c r="A127" s="4">
        <v>123</v>
      </c>
      <c r="B127" s="4" t="str">
        <f>Data_Historis_Mingguan!B127</f>
        <v>Feb 02, 2024</v>
      </c>
      <c r="C127" s="10">
        <f>Data_Historis_Mingguan!F127</f>
        <v>4586.53</v>
      </c>
      <c r="D127" s="10">
        <f>Data_Historis_Mingguan!F126</f>
        <v>4498.16</v>
      </c>
      <c r="E127" s="10">
        <f t="shared" si="1"/>
        <v>88.369999999999891</v>
      </c>
    </row>
    <row r="128" spans="1:5" ht="16" x14ac:dyDescent="0.45">
      <c r="A128" s="7">
        <v>124</v>
      </c>
      <c r="B128" s="7" t="str">
        <f>Data_Historis_Mingguan!B128</f>
        <v>Feb 09, 2024</v>
      </c>
      <c r="C128" s="11">
        <f>Data_Historis_Mingguan!F128</f>
        <v>4528.26</v>
      </c>
      <c r="D128" s="11">
        <f>Data_Historis_Mingguan!F127</f>
        <v>4586.53</v>
      </c>
      <c r="E128" s="11">
        <f t="shared" si="1"/>
        <v>-58.269999999999527</v>
      </c>
    </row>
    <row r="129" spans="1:5" ht="16" x14ac:dyDescent="0.45">
      <c r="A129" s="4">
        <v>125</v>
      </c>
      <c r="B129" s="4" t="str">
        <f>Data_Historis_Mingguan!B129</f>
        <v>Feb 16, 2024</v>
      </c>
      <c r="C129" s="10">
        <f>Data_Historis_Mingguan!F129</f>
        <v>4545.07</v>
      </c>
      <c r="D129" s="10">
        <f>Data_Historis_Mingguan!F128</f>
        <v>4528.26</v>
      </c>
      <c r="E129" s="10">
        <f t="shared" si="1"/>
        <v>16.809999999999491</v>
      </c>
    </row>
    <row r="130" spans="1:5" ht="16" x14ac:dyDescent="0.45">
      <c r="A130" s="7">
        <v>126</v>
      </c>
      <c r="B130" s="7" t="str">
        <f>Data_Historis_Mingguan!B130</f>
        <v>Feb 23, 2024</v>
      </c>
      <c r="C130" s="11">
        <f>Data_Historis_Mingguan!F130</f>
        <v>4589.6099999999997</v>
      </c>
      <c r="D130" s="11">
        <f>Data_Historis_Mingguan!F129</f>
        <v>4545.07</v>
      </c>
      <c r="E130" s="11">
        <f t="shared" si="1"/>
        <v>44.539999999999964</v>
      </c>
    </row>
    <row r="131" spans="1:5" ht="16" x14ac:dyDescent="0.45">
      <c r="A131" s="4">
        <v>127</v>
      </c>
      <c r="B131" s="4" t="str">
        <f>Data_Historis_Mingguan!B131</f>
        <v>Mar 01, 2024</v>
      </c>
      <c r="C131" s="10">
        <f>Data_Historis_Mingguan!F131</f>
        <v>4438.59</v>
      </c>
      <c r="D131" s="10">
        <f>Data_Historis_Mingguan!F130</f>
        <v>4589.6099999999997</v>
      </c>
      <c r="E131" s="10">
        <f t="shared" si="1"/>
        <v>-151.01999999999953</v>
      </c>
    </row>
    <row r="132" spans="1:5" ht="16" x14ac:dyDescent="0.45">
      <c r="A132" s="7">
        <v>128</v>
      </c>
      <c r="B132" s="7" t="str">
        <f>Data_Historis_Mingguan!B132</f>
        <v>Mar 08, 2024</v>
      </c>
      <c r="C132" s="11">
        <f>Data_Historis_Mingguan!F132</f>
        <v>4450.92</v>
      </c>
      <c r="D132" s="11">
        <f>Data_Historis_Mingguan!F131</f>
        <v>4438.59</v>
      </c>
      <c r="E132" s="11">
        <f t="shared" si="1"/>
        <v>12.329999999999927</v>
      </c>
    </row>
    <row r="133" spans="1:5" ht="16" x14ac:dyDescent="0.45">
      <c r="A133" s="4">
        <v>129</v>
      </c>
      <c r="B133" s="4" t="str">
        <f>Data_Historis_Mingguan!B133</f>
        <v>Mar 15, 2024</v>
      </c>
      <c r="C133" s="10">
        <f>Data_Historis_Mingguan!F133</f>
        <v>4488.92</v>
      </c>
      <c r="D133" s="10">
        <f>Data_Historis_Mingguan!F132</f>
        <v>4450.92</v>
      </c>
      <c r="E133" s="10">
        <f t="shared" si="1"/>
        <v>38</v>
      </c>
    </row>
    <row r="134" spans="1:5" ht="16" x14ac:dyDescent="0.45">
      <c r="A134" s="7">
        <v>130</v>
      </c>
      <c r="B134" s="7" t="str">
        <f>Data_Historis_Mingguan!B134</f>
        <v>Mar 22, 2024</v>
      </c>
      <c r="C134" s="11">
        <f>Data_Historis_Mingguan!F134</f>
        <v>4348</v>
      </c>
      <c r="D134" s="11">
        <f>Data_Historis_Mingguan!F133</f>
        <v>4488.92</v>
      </c>
      <c r="E134" s="11">
        <f t="shared" ref="E134:E197" si="2">C134-D134</f>
        <v>-140.92000000000007</v>
      </c>
    </row>
    <row r="135" spans="1:5" ht="16" x14ac:dyDescent="0.45">
      <c r="A135" s="4">
        <v>131</v>
      </c>
      <c r="B135" s="4" t="str">
        <f>Data_Historis_Mingguan!B135</f>
        <v>Mar 29, 2024</v>
      </c>
      <c r="C135" s="10">
        <f>Data_Historis_Mingguan!F135</f>
        <v>4276.41</v>
      </c>
      <c r="D135" s="10">
        <f>Data_Historis_Mingguan!F134</f>
        <v>4348</v>
      </c>
      <c r="E135" s="10">
        <f t="shared" si="2"/>
        <v>-71.590000000000146</v>
      </c>
    </row>
    <row r="136" spans="1:5" ht="16" x14ac:dyDescent="0.45">
      <c r="A136" s="7">
        <v>132</v>
      </c>
      <c r="B136" s="7" t="str">
        <f>Data_Historis_Mingguan!B136</f>
        <v>Apr 05, 2024</v>
      </c>
      <c r="C136" s="11">
        <f>Data_Historis_Mingguan!F136</f>
        <v>4359.2700000000004</v>
      </c>
      <c r="D136" s="11">
        <f>Data_Historis_Mingguan!F135</f>
        <v>4276.41</v>
      </c>
      <c r="E136" s="11">
        <f t="shared" si="2"/>
        <v>82.860000000000582</v>
      </c>
    </row>
    <row r="137" spans="1:5" ht="16" x14ac:dyDescent="0.45">
      <c r="A137" s="4">
        <v>133</v>
      </c>
      <c r="B137" s="4" t="str">
        <f>Data_Historis_Mingguan!B137</f>
        <v>Apr 12, 2024</v>
      </c>
      <c r="C137" s="10">
        <f>Data_Historis_Mingguan!F137</f>
        <v>4313.88</v>
      </c>
      <c r="D137" s="10">
        <f>Data_Historis_Mingguan!F136</f>
        <v>4359.2700000000004</v>
      </c>
      <c r="E137" s="10">
        <f t="shared" si="2"/>
        <v>-45.390000000000327</v>
      </c>
    </row>
    <row r="138" spans="1:5" ht="16" x14ac:dyDescent="0.45">
      <c r="A138" s="7">
        <v>134</v>
      </c>
      <c r="B138" s="7" t="str">
        <f>Data_Historis_Mingguan!B138</f>
        <v>Apr 19, 2024</v>
      </c>
      <c r="C138" s="11">
        <f>Data_Historis_Mingguan!F138</f>
        <v>4325.42</v>
      </c>
      <c r="D138" s="11">
        <f>Data_Historis_Mingguan!F137</f>
        <v>4313.88</v>
      </c>
      <c r="E138" s="11">
        <f t="shared" si="2"/>
        <v>11.539999999999964</v>
      </c>
    </row>
    <row r="139" spans="1:5" ht="16" x14ac:dyDescent="0.45">
      <c r="A139" s="4">
        <v>135</v>
      </c>
      <c r="B139" s="4" t="str">
        <f>Data_Historis_Mingguan!B139</f>
        <v>Apr 26, 2024</v>
      </c>
      <c r="C139" s="10">
        <f>Data_Historis_Mingguan!F139</f>
        <v>4365.1499999999996</v>
      </c>
      <c r="D139" s="10">
        <f>Data_Historis_Mingguan!F138</f>
        <v>4325.42</v>
      </c>
      <c r="E139" s="10">
        <f t="shared" si="2"/>
        <v>39.729999999999563</v>
      </c>
    </row>
    <row r="140" spans="1:5" ht="16" x14ac:dyDescent="0.45">
      <c r="A140" s="7">
        <v>136</v>
      </c>
      <c r="B140" s="7" t="str">
        <f>Data_Historis_Mingguan!B140</f>
        <v>May 03, 2024</v>
      </c>
      <c r="C140" s="11">
        <f>Data_Historis_Mingguan!F140</f>
        <v>4440.58</v>
      </c>
      <c r="D140" s="11">
        <f>Data_Historis_Mingguan!F139</f>
        <v>4365.1499999999996</v>
      </c>
      <c r="E140" s="11">
        <f t="shared" si="2"/>
        <v>75.430000000000291</v>
      </c>
    </row>
    <row r="141" spans="1:5" ht="16" x14ac:dyDescent="0.45">
      <c r="A141" s="4">
        <v>137</v>
      </c>
      <c r="B141" s="4" t="str">
        <f>Data_Historis_Mingguan!B141</f>
        <v>May 10, 2024</v>
      </c>
      <c r="C141" s="10">
        <f>Data_Historis_Mingguan!F141</f>
        <v>4324.04</v>
      </c>
      <c r="D141" s="10">
        <f>Data_Historis_Mingguan!F140</f>
        <v>4440.58</v>
      </c>
      <c r="E141" s="10">
        <f t="shared" si="2"/>
        <v>-116.53999999999996</v>
      </c>
    </row>
    <row r="142" spans="1:5" ht="16" x14ac:dyDescent="0.45">
      <c r="A142" s="7">
        <v>138</v>
      </c>
      <c r="B142" s="7" t="str">
        <f>Data_Historis_Mingguan!B142</f>
        <v>May 17, 2024</v>
      </c>
      <c r="C142" s="11">
        <f>Data_Historis_Mingguan!F142</f>
        <v>4315.92</v>
      </c>
      <c r="D142" s="11">
        <f>Data_Historis_Mingguan!F141</f>
        <v>4324.04</v>
      </c>
      <c r="E142" s="11">
        <f t="shared" si="2"/>
        <v>-8.1199999999998909</v>
      </c>
    </row>
    <row r="143" spans="1:5" ht="16" x14ac:dyDescent="0.45">
      <c r="A143" s="4">
        <v>139</v>
      </c>
      <c r="B143" s="4" t="str">
        <f>Data_Historis_Mingguan!B143</f>
        <v>May 24, 2024</v>
      </c>
      <c r="C143" s="10">
        <f>Data_Historis_Mingguan!F143</f>
        <v>4391.9799999999996</v>
      </c>
      <c r="D143" s="10">
        <f>Data_Historis_Mingguan!F142</f>
        <v>4315.92</v>
      </c>
      <c r="E143" s="10">
        <f t="shared" si="2"/>
        <v>76.059999999999491</v>
      </c>
    </row>
    <row r="144" spans="1:5" ht="16" x14ac:dyDescent="0.45">
      <c r="A144" s="7">
        <v>140</v>
      </c>
      <c r="B144" s="7" t="str">
        <f>Data_Historis_Mingguan!B144</f>
        <v>May 31, 2024</v>
      </c>
      <c r="C144" s="11">
        <f>Data_Historis_Mingguan!F144</f>
        <v>4334.22</v>
      </c>
      <c r="D144" s="11">
        <f>Data_Historis_Mingguan!F143</f>
        <v>4391.9799999999996</v>
      </c>
      <c r="E144" s="11">
        <f t="shared" si="2"/>
        <v>-57.759999999999309</v>
      </c>
    </row>
    <row r="145" spans="1:5" ht="16" x14ac:dyDescent="0.45">
      <c r="A145" s="4">
        <v>141</v>
      </c>
      <c r="B145" s="4" t="str">
        <f>Data_Historis_Mingguan!B145</f>
        <v>Jun 07, 2024</v>
      </c>
      <c r="C145" s="10">
        <f>Data_Historis_Mingguan!F145</f>
        <v>4270.3900000000003</v>
      </c>
      <c r="D145" s="10">
        <f>Data_Historis_Mingguan!F144</f>
        <v>4334.22</v>
      </c>
      <c r="E145" s="10">
        <f t="shared" si="2"/>
        <v>-63.829999999999927</v>
      </c>
    </row>
    <row r="146" spans="1:5" ht="16" x14ac:dyDescent="0.45">
      <c r="A146" s="7">
        <v>142</v>
      </c>
      <c r="B146" s="7" t="str">
        <f>Data_Historis_Mingguan!B146</f>
        <v>Jun 14, 2024</v>
      </c>
      <c r="C146" s="11">
        <f>Data_Historis_Mingguan!F146</f>
        <v>4191.66</v>
      </c>
      <c r="D146" s="11">
        <f>Data_Historis_Mingguan!F145</f>
        <v>4270.3900000000003</v>
      </c>
      <c r="E146" s="11">
        <f t="shared" si="2"/>
        <v>-78.730000000000473</v>
      </c>
    </row>
    <row r="147" spans="1:5" ht="16" x14ac:dyDescent="0.45">
      <c r="A147" s="4">
        <v>143</v>
      </c>
      <c r="B147" s="4" t="str">
        <f>Data_Historis_Mingguan!B147</f>
        <v>Jun 21, 2024</v>
      </c>
      <c r="C147" s="10">
        <f>Data_Historis_Mingguan!F147</f>
        <v>4208.33</v>
      </c>
      <c r="D147" s="10">
        <f>Data_Historis_Mingguan!F146</f>
        <v>4191.66</v>
      </c>
      <c r="E147" s="10">
        <f t="shared" si="2"/>
        <v>16.670000000000073</v>
      </c>
    </row>
    <row r="148" spans="1:5" ht="16" x14ac:dyDescent="0.45">
      <c r="A148" s="7">
        <v>144</v>
      </c>
      <c r="B148" s="7" t="str">
        <f>Data_Historis_Mingguan!B148</f>
        <v>Jun 28, 2024</v>
      </c>
      <c r="C148" s="11">
        <f>Data_Historis_Mingguan!F148</f>
        <v>4247.5600000000004</v>
      </c>
      <c r="D148" s="11">
        <f>Data_Historis_Mingguan!F147</f>
        <v>4208.33</v>
      </c>
      <c r="E148" s="11">
        <f t="shared" si="2"/>
        <v>39.230000000000473</v>
      </c>
    </row>
    <row r="149" spans="1:5" ht="16" x14ac:dyDescent="0.45">
      <c r="A149" s="4">
        <v>145</v>
      </c>
      <c r="B149" s="4" t="str">
        <f>Data_Historis_Mingguan!B149</f>
        <v>Jul 05, 2024</v>
      </c>
      <c r="C149" s="10">
        <f>Data_Historis_Mingguan!F149</f>
        <v>4285.43</v>
      </c>
      <c r="D149" s="10">
        <f>Data_Historis_Mingguan!F148</f>
        <v>4247.5600000000004</v>
      </c>
      <c r="E149" s="10">
        <f t="shared" si="2"/>
        <v>37.869999999999891</v>
      </c>
    </row>
    <row r="150" spans="1:5" ht="16" x14ac:dyDescent="0.45">
      <c r="A150" s="7">
        <v>146</v>
      </c>
      <c r="B150" s="7" t="str">
        <f>Data_Historis_Mingguan!B150</f>
        <v>Jul 12, 2024</v>
      </c>
      <c r="C150" s="11">
        <f>Data_Historis_Mingguan!F150</f>
        <v>4276.93</v>
      </c>
      <c r="D150" s="11">
        <f>Data_Historis_Mingguan!F149</f>
        <v>4285.43</v>
      </c>
      <c r="E150" s="11">
        <f t="shared" si="2"/>
        <v>-8.5</v>
      </c>
    </row>
    <row r="151" spans="1:5" ht="16" x14ac:dyDescent="0.45">
      <c r="A151" s="4">
        <v>147</v>
      </c>
      <c r="B151" s="4" t="str">
        <f>Data_Historis_Mingguan!B151</f>
        <v>Jul 19, 2024</v>
      </c>
      <c r="C151" s="10">
        <f>Data_Historis_Mingguan!F151</f>
        <v>4201.0600000000004</v>
      </c>
      <c r="D151" s="10">
        <f>Data_Historis_Mingguan!F150</f>
        <v>4276.93</v>
      </c>
      <c r="E151" s="10">
        <f t="shared" si="2"/>
        <v>-75.869999999999891</v>
      </c>
    </row>
    <row r="152" spans="1:5" ht="16" x14ac:dyDescent="0.45">
      <c r="A152" s="7">
        <v>148</v>
      </c>
      <c r="B152" s="7" t="str">
        <f>Data_Historis_Mingguan!B152</f>
        <v>Jul 26, 2024</v>
      </c>
      <c r="C152" s="11">
        <f>Data_Historis_Mingguan!F152</f>
        <v>4197.37</v>
      </c>
      <c r="D152" s="11">
        <f>Data_Historis_Mingguan!F151</f>
        <v>4201.0600000000004</v>
      </c>
      <c r="E152" s="11">
        <f t="shared" si="2"/>
        <v>-3.6900000000005093</v>
      </c>
    </row>
    <row r="153" spans="1:5" ht="16" x14ac:dyDescent="0.45">
      <c r="A153" s="4">
        <v>149</v>
      </c>
      <c r="B153" s="4" t="str">
        <f>Data_Historis_Mingguan!B153</f>
        <v>Aug 02, 2024</v>
      </c>
      <c r="C153" s="10">
        <f>Data_Historis_Mingguan!F153</f>
        <v>4270.13</v>
      </c>
      <c r="D153" s="10">
        <f>Data_Historis_Mingguan!F152</f>
        <v>4197.37</v>
      </c>
      <c r="E153" s="10">
        <f t="shared" si="2"/>
        <v>72.760000000000218</v>
      </c>
    </row>
    <row r="154" spans="1:5" ht="16" x14ac:dyDescent="0.45">
      <c r="A154" s="7">
        <v>150</v>
      </c>
      <c r="B154" s="7" t="str">
        <f>Data_Historis_Mingguan!B154</f>
        <v>Aug 09, 2024</v>
      </c>
      <c r="C154" s="11">
        <f>Data_Historis_Mingguan!F154</f>
        <v>4379.5600000000004</v>
      </c>
      <c r="D154" s="11">
        <f>Data_Historis_Mingguan!F153</f>
        <v>4270.13</v>
      </c>
      <c r="E154" s="11">
        <f t="shared" si="2"/>
        <v>109.43000000000029</v>
      </c>
    </row>
    <row r="155" spans="1:5" ht="16" x14ac:dyDescent="0.45">
      <c r="A155" s="4">
        <v>151</v>
      </c>
      <c r="B155" s="4" t="str">
        <f>Data_Historis_Mingguan!B155</f>
        <v>Aug 16, 2024</v>
      </c>
      <c r="C155" s="10">
        <f>Data_Historis_Mingguan!F155</f>
        <v>4407.7700000000004</v>
      </c>
      <c r="D155" s="10">
        <f>Data_Historis_Mingguan!F154</f>
        <v>4379.5600000000004</v>
      </c>
      <c r="E155" s="10">
        <f t="shared" si="2"/>
        <v>28.210000000000036</v>
      </c>
    </row>
    <row r="156" spans="1:5" ht="16" x14ac:dyDescent="0.45">
      <c r="A156" s="7">
        <v>152</v>
      </c>
      <c r="B156" s="7" t="str">
        <f>Data_Historis_Mingguan!B156</f>
        <v>Aug 23, 2024</v>
      </c>
      <c r="C156" s="11">
        <f>Data_Historis_Mingguan!F156</f>
        <v>4330.71</v>
      </c>
      <c r="D156" s="11">
        <f>Data_Historis_Mingguan!F155</f>
        <v>4407.7700000000004</v>
      </c>
      <c r="E156" s="11">
        <f t="shared" si="2"/>
        <v>-77.0600000000004</v>
      </c>
    </row>
    <row r="157" spans="1:5" ht="16" x14ac:dyDescent="0.45">
      <c r="A157" s="4">
        <v>153</v>
      </c>
      <c r="B157" s="4" t="str">
        <f>Data_Historis_Mingguan!B157</f>
        <v>Aug 30, 2024</v>
      </c>
      <c r="C157" s="10">
        <f>Data_Historis_Mingguan!F157</f>
        <v>4168.66</v>
      </c>
      <c r="D157" s="10">
        <f>Data_Historis_Mingguan!F156</f>
        <v>4330.71</v>
      </c>
      <c r="E157" s="10">
        <f t="shared" si="2"/>
        <v>-162.05000000000018</v>
      </c>
    </row>
    <row r="158" spans="1:5" ht="16" x14ac:dyDescent="0.45">
      <c r="A158" s="7">
        <v>154</v>
      </c>
      <c r="B158" s="7" t="str">
        <f>Data_Historis_Mingguan!B158</f>
        <v>Sep 06, 2024</v>
      </c>
      <c r="C158" s="11">
        <f>Data_Historis_Mingguan!F158</f>
        <v>4090.85</v>
      </c>
      <c r="D158" s="11">
        <f>Data_Historis_Mingguan!F157</f>
        <v>4168.66</v>
      </c>
      <c r="E158" s="11">
        <f t="shared" si="2"/>
        <v>-77.809999999999945</v>
      </c>
    </row>
    <row r="159" spans="1:5" ht="16" x14ac:dyDescent="0.45">
      <c r="A159" s="4">
        <v>155</v>
      </c>
      <c r="B159" s="4" t="str">
        <f>Data_Historis_Mingguan!B159</f>
        <v>Sep 13, 2024</v>
      </c>
      <c r="C159" s="10">
        <f>Data_Historis_Mingguan!F159</f>
        <v>4157.6099999999997</v>
      </c>
      <c r="D159" s="10">
        <f>Data_Historis_Mingguan!F158</f>
        <v>4090.85</v>
      </c>
      <c r="E159" s="10">
        <f t="shared" si="2"/>
        <v>66.759999999999764</v>
      </c>
    </row>
    <row r="160" spans="1:5" ht="16" x14ac:dyDescent="0.45">
      <c r="A160" s="7">
        <v>156</v>
      </c>
      <c r="B160" s="7" t="str">
        <f>Data_Historis_Mingguan!B160</f>
        <v>Sep 20, 2024</v>
      </c>
      <c r="C160" s="11">
        <f>Data_Historis_Mingguan!F160</f>
        <v>4223.6099999999997</v>
      </c>
      <c r="D160" s="11">
        <f>Data_Historis_Mingguan!F159</f>
        <v>4157.6099999999997</v>
      </c>
      <c r="E160" s="11">
        <f t="shared" si="2"/>
        <v>66</v>
      </c>
    </row>
    <row r="161" spans="1:5" ht="16" x14ac:dyDescent="0.45">
      <c r="A161" s="4">
        <v>157</v>
      </c>
      <c r="B161" s="4" t="str">
        <f>Data_Historis_Mingguan!B161</f>
        <v>Sep 27, 2024</v>
      </c>
      <c r="C161" s="10">
        <f>Data_Historis_Mingguan!F161</f>
        <v>4276.08</v>
      </c>
      <c r="D161" s="10">
        <f>Data_Historis_Mingguan!F160</f>
        <v>4223.6099999999997</v>
      </c>
      <c r="E161" s="10">
        <f t="shared" si="2"/>
        <v>52.470000000000255</v>
      </c>
    </row>
    <row r="162" spans="1:5" ht="16" x14ac:dyDescent="0.45">
      <c r="A162" s="7">
        <v>158</v>
      </c>
      <c r="B162" s="7" t="str">
        <f>Data_Historis_Mingguan!B162</f>
        <v>Oct 04, 2024</v>
      </c>
      <c r="C162" s="11">
        <f>Data_Historis_Mingguan!F162</f>
        <v>4241.22</v>
      </c>
      <c r="D162" s="11">
        <f>Data_Historis_Mingguan!F161</f>
        <v>4276.08</v>
      </c>
      <c r="E162" s="11">
        <f t="shared" si="2"/>
        <v>-34.859999999999673</v>
      </c>
    </row>
    <row r="163" spans="1:5" ht="16" x14ac:dyDescent="0.45">
      <c r="A163" s="4">
        <v>159</v>
      </c>
      <c r="B163" s="4" t="str">
        <f>Data_Historis_Mingguan!B163</f>
        <v>Oct 11, 2024</v>
      </c>
      <c r="C163" s="10">
        <f>Data_Historis_Mingguan!F163</f>
        <v>4206.93</v>
      </c>
      <c r="D163" s="10">
        <f>Data_Historis_Mingguan!F162</f>
        <v>4241.22</v>
      </c>
      <c r="E163" s="10">
        <f t="shared" si="2"/>
        <v>-34.289999999999964</v>
      </c>
    </row>
    <row r="164" spans="1:5" ht="16" x14ac:dyDescent="0.45">
      <c r="A164" s="7">
        <v>160</v>
      </c>
      <c r="B164" s="7" t="str">
        <f>Data_Historis_Mingguan!B164</f>
        <v>Oct 18, 2024</v>
      </c>
      <c r="C164" s="11">
        <f>Data_Historis_Mingguan!F164</f>
        <v>4176.62</v>
      </c>
      <c r="D164" s="11">
        <f>Data_Historis_Mingguan!F163</f>
        <v>4206.93</v>
      </c>
      <c r="E164" s="11">
        <f t="shared" si="2"/>
        <v>-30.3100000000004</v>
      </c>
    </row>
    <row r="165" spans="1:5" ht="16" x14ac:dyDescent="0.45">
      <c r="A165" s="4">
        <v>161</v>
      </c>
      <c r="B165" s="4" t="str">
        <f>Data_Historis_Mingguan!B165</f>
        <v>Oct 25, 2024</v>
      </c>
      <c r="C165" s="10">
        <f>Data_Historis_Mingguan!F165</f>
        <v>4051.45</v>
      </c>
      <c r="D165" s="10">
        <f>Data_Historis_Mingguan!F164</f>
        <v>4176.62</v>
      </c>
      <c r="E165" s="10">
        <f t="shared" si="2"/>
        <v>-125.17000000000007</v>
      </c>
    </row>
    <row r="166" spans="1:5" ht="16" x14ac:dyDescent="0.45">
      <c r="A166" s="7">
        <v>162</v>
      </c>
      <c r="B166" s="7" t="str">
        <f>Data_Historis_Mingguan!B166</f>
        <v>Nov 01, 2024</v>
      </c>
      <c r="C166" s="11">
        <f>Data_Historis_Mingguan!F166</f>
        <v>4068.78</v>
      </c>
      <c r="D166" s="11">
        <f>Data_Historis_Mingguan!F165</f>
        <v>4051.45</v>
      </c>
      <c r="E166" s="11">
        <f t="shared" si="2"/>
        <v>17.330000000000382</v>
      </c>
    </row>
    <row r="167" spans="1:5" ht="16" x14ac:dyDescent="0.45">
      <c r="A167" s="4">
        <v>163</v>
      </c>
      <c r="B167" s="4" t="str">
        <f>Data_Historis_Mingguan!B167</f>
        <v>Nov 08, 2024</v>
      </c>
      <c r="C167" s="10">
        <f>Data_Historis_Mingguan!F167</f>
        <v>4177.6499999999996</v>
      </c>
      <c r="D167" s="10">
        <f>Data_Historis_Mingguan!F166</f>
        <v>4068.78</v>
      </c>
      <c r="E167" s="10">
        <f t="shared" si="2"/>
        <v>108.86999999999944</v>
      </c>
    </row>
    <row r="168" spans="1:5" ht="16" x14ac:dyDescent="0.45">
      <c r="A168" s="7">
        <v>164</v>
      </c>
      <c r="B168" s="7" t="str">
        <f>Data_Historis_Mingguan!B168</f>
        <v>Nov 15, 2024</v>
      </c>
      <c r="C168" s="11">
        <f>Data_Historis_Mingguan!F168</f>
        <v>4294.2700000000004</v>
      </c>
      <c r="D168" s="11">
        <f>Data_Historis_Mingguan!F167</f>
        <v>4177.6499999999996</v>
      </c>
      <c r="E168" s="11">
        <f t="shared" si="2"/>
        <v>116.6200000000008</v>
      </c>
    </row>
    <row r="169" spans="1:5" ht="16" x14ac:dyDescent="0.45">
      <c r="A169" s="4">
        <v>165</v>
      </c>
      <c r="B169" s="4" t="str">
        <f>Data_Historis_Mingguan!B169</f>
        <v>Nov 22, 2024</v>
      </c>
      <c r="C169" s="10">
        <f>Data_Historis_Mingguan!F169</f>
        <v>4351.6099999999997</v>
      </c>
      <c r="D169" s="10">
        <f>Data_Historis_Mingguan!F168</f>
        <v>4294.2700000000004</v>
      </c>
      <c r="E169" s="10">
        <f t="shared" si="2"/>
        <v>57.339999999999236</v>
      </c>
    </row>
    <row r="170" spans="1:5" ht="16" x14ac:dyDescent="0.45">
      <c r="A170" s="7">
        <v>166</v>
      </c>
      <c r="B170" s="7" t="str">
        <f>Data_Historis_Mingguan!B170</f>
        <v>Nov 29, 2024</v>
      </c>
      <c r="C170" s="11">
        <f>Data_Historis_Mingguan!F170</f>
        <v>4281.68</v>
      </c>
      <c r="D170" s="11">
        <f>Data_Historis_Mingguan!F169</f>
        <v>4351.6099999999997</v>
      </c>
      <c r="E170" s="11">
        <f t="shared" si="2"/>
        <v>-69.929999999999382</v>
      </c>
    </row>
    <row r="171" spans="1:5" ht="16" x14ac:dyDescent="0.45">
      <c r="A171" s="4">
        <v>167</v>
      </c>
      <c r="B171" s="4" t="str">
        <f>Data_Historis_Mingguan!B171</f>
        <v>Dec 06, 2024</v>
      </c>
      <c r="C171" s="10">
        <f>Data_Historis_Mingguan!F171</f>
        <v>4326.83</v>
      </c>
      <c r="D171" s="10">
        <f>Data_Historis_Mingguan!F170</f>
        <v>4281.68</v>
      </c>
      <c r="E171" s="10">
        <f t="shared" si="2"/>
        <v>45.149999999999636</v>
      </c>
    </row>
    <row r="172" spans="1:5" ht="16" x14ac:dyDescent="0.45">
      <c r="A172" s="7">
        <v>168</v>
      </c>
      <c r="B172" s="7" t="str">
        <f>Data_Historis_Mingguan!B172</f>
        <v>Dec 13, 2024</v>
      </c>
      <c r="C172" s="11">
        <f>Data_Historis_Mingguan!F172</f>
        <v>4261.37</v>
      </c>
      <c r="D172" s="11">
        <f>Data_Historis_Mingguan!F171</f>
        <v>4326.83</v>
      </c>
      <c r="E172" s="11">
        <f t="shared" si="2"/>
        <v>-65.460000000000036</v>
      </c>
    </row>
    <row r="173" spans="1:5" ht="16" x14ac:dyDescent="0.45">
      <c r="A173" s="4">
        <v>169</v>
      </c>
      <c r="B173" s="4" t="str">
        <f>Data_Historis_Mingguan!B173</f>
        <v>Dec 20, 2024</v>
      </c>
      <c r="C173" s="10">
        <f>Data_Historis_Mingguan!F173</f>
        <v>4163.07</v>
      </c>
      <c r="D173" s="10">
        <f>Data_Historis_Mingguan!F172</f>
        <v>4261.37</v>
      </c>
      <c r="E173" s="10">
        <f t="shared" si="2"/>
        <v>-98.300000000000182</v>
      </c>
    </row>
    <row r="174" spans="1:5" ht="16" x14ac:dyDescent="0.45">
      <c r="A174" s="7">
        <v>170</v>
      </c>
      <c r="B174" s="7" t="str">
        <f>Data_Historis_Mingguan!B174</f>
        <v>Dec 27, 2024</v>
      </c>
      <c r="C174" s="11">
        <f>Data_Historis_Mingguan!F174</f>
        <v>4184.1000000000004</v>
      </c>
      <c r="D174" s="11">
        <f>Data_Historis_Mingguan!F173</f>
        <v>4163.07</v>
      </c>
      <c r="E174" s="11">
        <f t="shared" si="2"/>
        <v>21.030000000000655</v>
      </c>
    </row>
    <row r="175" spans="1:5" ht="16" x14ac:dyDescent="0.45">
      <c r="A175" s="4">
        <v>171</v>
      </c>
      <c r="B175" s="4" t="str">
        <f>Data_Historis_Mingguan!B175</f>
        <v>Jan 03, 2025</v>
      </c>
      <c r="C175" s="10">
        <f>Data_Historis_Mingguan!F175</f>
        <v>4129.34</v>
      </c>
      <c r="D175" s="10">
        <f>Data_Historis_Mingguan!F174</f>
        <v>4184.1000000000004</v>
      </c>
      <c r="E175" s="10">
        <f t="shared" si="2"/>
        <v>-54.760000000000218</v>
      </c>
    </row>
    <row r="176" spans="1:5" ht="16" x14ac:dyDescent="0.45">
      <c r="A176" s="7">
        <v>172</v>
      </c>
      <c r="B176" s="7" t="str">
        <f>Data_Historis_Mingguan!B176</f>
        <v>Jan 10, 2025</v>
      </c>
      <c r="C176" s="11">
        <f>Data_Historis_Mingguan!F176</f>
        <v>4152.03</v>
      </c>
      <c r="D176" s="11">
        <f>Data_Historis_Mingguan!F175</f>
        <v>4129.34</v>
      </c>
      <c r="E176" s="11">
        <f t="shared" si="2"/>
        <v>22.6899999999996</v>
      </c>
    </row>
    <row r="177" spans="1:5" ht="16" x14ac:dyDescent="0.45">
      <c r="A177" s="4">
        <v>173</v>
      </c>
      <c r="B177" s="4" t="str">
        <f>Data_Historis_Mingguan!B177</f>
        <v>Jan 17, 2025</v>
      </c>
      <c r="C177" s="10">
        <f>Data_Historis_Mingguan!F177</f>
        <v>4110.41</v>
      </c>
      <c r="D177" s="10">
        <f>Data_Historis_Mingguan!F176</f>
        <v>4152.03</v>
      </c>
      <c r="E177" s="10">
        <f t="shared" si="2"/>
        <v>-41.619999999999891</v>
      </c>
    </row>
    <row r="178" spans="1:5" ht="16" x14ac:dyDescent="0.45">
      <c r="A178" s="7">
        <v>174</v>
      </c>
      <c r="B178" s="7" t="str">
        <f>Data_Historis_Mingguan!B178</f>
        <v>Jan 24, 2025</v>
      </c>
      <c r="C178" s="11">
        <f>Data_Historis_Mingguan!F178</f>
        <v>4134.12</v>
      </c>
      <c r="D178" s="11">
        <f>Data_Historis_Mingguan!F177</f>
        <v>4110.41</v>
      </c>
      <c r="E178" s="11">
        <f t="shared" si="2"/>
        <v>23.710000000000036</v>
      </c>
    </row>
    <row r="179" spans="1:5" ht="16" x14ac:dyDescent="0.45">
      <c r="A179" s="4">
        <v>175</v>
      </c>
      <c r="B179" s="4" t="str">
        <f>Data_Historis_Mingguan!B179</f>
        <v>Jan 31, 2025</v>
      </c>
      <c r="C179" s="10">
        <f>Data_Historis_Mingguan!F179</f>
        <v>4163.95</v>
      </c>
      <c r="D179" s="10">
        <f>Data_Historis_Mingguan!F178</f>
        <v>4134.12</v>
      </c>
      <c r="E179" s="10">
        <f t="shared" si="2"/>
        <v>29.829999999999927</v>
      </c>
    </row>
    <row r="180" spans="1:5" ht="16" x14ac:dyDescent="0.45">
      <c r="A180" s="7">
        <v>176</v>
      </c>
      <c r="B180" s="7" t="str">
        <f>Data_Historis_Mingguan!B180</f>
        <v>Feb 07, 2025</v>
      </c>
      <c r="C180" s="11">
        <f>Data_Historis_Mingguan!F180</f>
        <v>4235.92</v>
      </c>
      <c r="D180" s="11">
        <f>Data_Historis_Mingguan!F179</f>
        <v>4163.95</v>
      </c>
      <c r="E180" s="11">
        <f t="shared" si="2"/>
        <v>71.970000000000255</v>
      </c>
    </row>
    <row r="181" spans="1:5" ht="16" x14ac:dyDescent="0.45">
      <c r="A181" s="4">
        <v>177</v>
      </c>
      <c r="B181" s="4" t="str">
        <f>Data_Historis_Mingguan!B181</f>
        <v>Feb 14, 2025</v>
      </c>
      <c r="C181" s="10">
        <f>Data_Historis_Mingguan!F181</f>
        <v>4252.09</v>
      </c>
      <c r="D181" s="10">
        <f>Data_Historis_Mingguan!F180</f>
        <v>4235.92</v>
      </c>
      <c r="E181" s="10">
        <f t="shared" si="2"/>
        <v>16.170000000000073</v>
      </c>
    </row>
    <row r="182" spans="1:5" ht="16" x14ac:dyDescent="0.45">
      <c r="A182" s="7">
        <v>178</v>
      </c>
      <c r="B182" s="7" t="str">
        <f>Data_Historis_Mingguan!B182</f>
        <v>Feb 21, 2025</v>
      </c>
      <c r="C182" s="11">
        <f>Data_Historis_Mingguan!F182</f>
        <v>4121.9799999999996</v>
      </c>
      <c r="D182" s="11">
        <f>Data_Historis_Mingguan!F181</f>
        <v>4252.09</v>
      </c>
      <c r="E182" s="11">
        <f t="shared" si="2"/>
        <v>-130.11000000000058</v>
      </c>
    </row>
    <row r="183" spans="1:5" ht="16" x14ac:dyDescent="0.45">
      <c r="A183" s="4">
        <v>179</v>
      </c>
      <c r="B183" s="4" t="str">
        <f>Data_Historis_Mingguan!B183</f>
        <v>Feb 28, 2025</v>
      </c>
      <c r="C183" s="10">
        <f>Data_Historis_Mingguan!F183</f>
        <v>4119.97</v>
      </c>
      <c r="D183" s="10">
        <f>Data_Historis_Mingguan!F182</f>
        <v>4121.9799999999996</v>
      </c>
      <c r="E183" s="10">
        <f t="shared" si="2"/>
        <v>-2.0099999999993088</v>
      </c>
    </row>
    <row r="184" spans="1:5" ht="16" x14ac:dyDescent="0.45">
      <c r="A184" s="7">
        <v>180</v>
      </c>
      <c r="B184" s="7" t="str">
        <f>Data_Historis_Mingguan!B184</f>
        <v>Mar 07, 2025</v>
      </c>
      <c r="C184" s="11">
        <f>Data_Historis_Mingguan!F184</f>
        <v>4120.12</v>
      </c>
      <c r="D184" s="11">
        <f>Data_Historis_Mingguan!F183</f>
        <v>4119.97</v>
      </c>
      <c r="E184" s="11">
        <f t="shared" si="2"/>
        <v>0.1499999999996362</v>
      </c>
    </row>
    <row r="185" spans="1:5" ht="16" x14ac:dyDescent="0.45">
      <c r="A185" s="4">
        <v>181</v>
      </c>
      <c r="B185" s="4" t="str">
        <f>Data_Historis_Mingguan!B185</f>
        <v>Mar 14, 2025</v>
      </c>
      <c r="C185" s="10">
        <f>Data_Historis_Mingguan!F185</f>
        <v>4215.25</v>
      </c>
      <c r="D185" s="10">
        <f>Data_Historis_Mingguan!F184</f>
        <v>4120.12</v>
      </c>
      <c r="E185" s="10">
        <f t="shared" si="2"/>
        <v>95.130000000000109</v>
      </c>
    </row>
    <row r="186" spans="1:5" ht="16" x14ac:dyDescent="0.45">
      <c r="A186" s="7">
        <v>182</v>
      </c>
      <c r="B186" s="7" t="str">
        <f>Data_Historis_Mingguan!B186</f>
        <v>Mar 21, 2025</v>
      </c>
      <c r="C186" s="11">
        <f>Data_Historis_Mingguan!F186</f>
        <v>4115.37</v>
      </c>
      <c r="D186" s="11">
        <f>Data_Historis_Mingguan!F185</f>
        <v>4215.25</v>
      </c>
      <c r="E186" s="11">
        <f t="shared" si="2"/>
        <v>-99.880000000000109</v>
      </c>
    </row>
    <row r="187" spans="1:5" ht="16" x14ac:dyDescent="0.45">
      <c r="A187" s="4">
        <v>183</v>
      </c>
      <c r="B187" s="4" t="str">
        <f>Data_Historis_Mingguan!B187</f>
        <v>Mar 28, 2025</v>
      </c>
      <c r="C187" s="10">
        <f>Data_Historis_Mingguan!F187</f>
        <v>3976.58</v>
      </c>
      <c r="D187" s="10">
        <f>Data_Historis_Mingguan!F186</f>
        <v>4115.37</v>
      </c>
      <c r="E187" s="10">
        <f t="shared" si="2"/>
        <v>-138.78999999999996</v>
      </c>
    </row>
    <row r="188" spans="1:5" ht="16" x14ac:dyDescent="0.45">
      <c r="A188" s="7">
        <v>184</v>
      </c>
      <c r="B188" s="7" t="str">
        <f>Data_Historis_Mingguan!B188</f>
        <v>Apr 04, 2025</v>
      </c>
      <c r="C188" s="11">
        <f>Data_Historis_Mingguan!F188</f>
        <v>4108.13</v>
      </c>
      <c r="D188" s="11">
        <f>Data_Historis_Mingguan!F187</f>
        <v>3976.58</v>
      </c>
      <c r="E188" s="11">
        <f t="shared" si="2"/>
        <v>131.55000000000018</v>
      </c>
    </row>
    <row r="189" spans="1:5" ht="16" x14ac:dyDescent="0.45">
      <c r="A189" s="4">
        <v>185</v>
      </c>
      <c r="B189" s="4" t="str">
        <f>Data_Historis_Mingguan!B189</f>
        <v>Apr 11, 2025</v>
      </c>
      <c r="C189" s="10">
        <f>Data_Historis_Mingguan!F189</f>
        <v>3949.38</v>
      </c>
      <c r="D189" s="10">
        <f>Data_Historis_Mingguan!F188</f>
        <v>4108.13</v>
      </c>
      <c r="E189" s="10">
        <f t="shared" si="2"/>
        <v>-158.75</v>
      </c>
    </row>
    <row r="190" spans="1:5" ht="16" x14ac:dyDescent="0.45">
      <c r="A190" s="7">
        <v>186</v>
      </c>
      <c r="B190" s="7" t="str">
        <f>Data_Historis_Mingguan!B190</f>
        <v>Apr 18, 2025</v>
      </c>
      <c r="C190" s="11">
        <f>Data_Historis_Mingguan!F190</f>
        <v>3906.84</v>
      </c>
      <c r="D190" s="11">
        <f>Data_Historis_Mingguan!F189</f>
        <v>3949.38</v>
      </c>
      <c r="E190" s="11">
        <f t="shared" si="2"/>
        <v>-42.539999999999964</v>
      </c>
    </row>
    <row r="191" spans="1:5" ht="16" x14ac:dyDescent="0.45">
      <c r="A191" s="4">
        <v>187</v>
      </c>
      <c r="B191" s="4" t="str">
        <f>Data_Historis_Mingguan!B191</f>
        <v>Apr 25, 2025</v>
      </c>
      <c r="C191" s="10">
        <f>Data_Historis_Mingguan!F191</f>
        <v>4008.48</v>
      </c>
      <c r="D191" s="10">
        <f>Data_Historis_Mingguan!F190</f>
        <v>3906.84</v>
      </c>
      <c r="E191" s="10">
        <f t="shared" si="2"/>
        <v>101.63999999999987</v>
      </c>
    </row>
    <row r="192" spans="1:5" ht="16" x14ac:dyDescent="0.45">
      <c r="A192" s="7">
        <v>188</v>
      </c>
      <c r="B192" s="7" t="str">
        <f>Data_Historis_Mingguan!B192</f>
        <v>May 02, 2025</v>
      </c>
      <c r="C192" s="11">
        <f>Data_Historis_Mingguan!F192</f>
        <v>3941.73</v>
      </c>
      <c r="D192" s="11">
        <f>Data_Historis_Mingguan!F191</f>
        <v>4008.48</v>
      </c>
      <c r="E192" s="11">
        <f t="shared" si="2"/>
        <v>-66.75</v>
      </c>
    </row>
    <row r="193" spans="1:5" ht="16" x14ac:dyDescent="0.45">
      <c r="A193" s="4">
        <v>189</v>
      </c>
      <c r="B193" s="4" t="str">
        <f>Data_Historis_Mingguan!B193</f>
        <v>May 09, 2025</v>
      </c>
      <c r="C193" s="10">
        <f>Data_Historis_Mingguan!F193</f>
        <v>3896.75</v>
      </c>
      <c r="D193" s="10">
        <f>Data_Historis_Mingguan!F192</f>
        <v>3941.73</v>
      </c>
      <c r="E193" s="10">
        <f t="shared" si="2"/>
        <v>-44.980000000000018</v>
      </c>
    </row>
    <row r="194" spans="1:5" ht="16" x14ac:dyDescent="0.45">
      <c r="A194" s="7">
        <v>190</v>
      </c>
      <c r="B194" s="7" t="str">
        <f>Data_Historis_Mingguan!B194</f>
        <v>May 16, 2025</v>
      </c>
      <c r="C194" s="11">
        <f>Data_Historis_Mingguan!F194</f>
        <v>3870.42</v>
      </c>
      <c r="D194" s="11">
        <f>Data_Historis_Mingguan!F193</f>
        <v>3896.75</v>
      </c>
      <c r="E194" s="11">
        <f t="shared" si="2"/>
        <v>-26.329999999999927</v>
      </c>
    </row>
    <row r="195" spans="1:5" ht="16" x14ac:dyDescent="0.45">
      <c r="A195" s="4">
        <v>191</v>
      </c>
      <c r="B195" s="4" t="str">
        <f>Data_Historis_Mingguan!B195</f>
        <v>May 23, 2025</v>
      </c>
      <c r="C195" s="10">
        <f>Data_Historis_Mingguan!F195</f>
        <v>3900.18</v>
      </c>
      <c r="D195" s="10">
        <f>Data_Historis_Mingguan!F194</f>
        <v>3870.42</v>
      </c>
      <c r="E195" s="10">
        <f t="shared" si="2"/>
        <v>29.759999999999764</v>
      </c>
    </row>
    <row r="196" spans="1:5" ht="16" x14ac:dyDescent="0.45">
      <c r="A196" s="7">
        <v>192</v>
      </c>
      <c r="B196" s="7" t="str">
        <f>Data_Historis_Mingguan!B196</f>
        <v>May 30, 2025</v>
      </c>
      <c r="C196" s="11">
        <f>Data_Historis_Mingguan!F196</f>
        <v>3809.66</v>
      </c>
      <c r="D196" s="11">
        <f>Data_Historis_Mingguan!F195</f>
        <v>3900.18</v>
      </c>
      <c r="E196" s="11">
        <f t="shared" si="2"/>
        <v>-90.519999999999982</v>
      </c>
    </row>
    <row r="197" spans="1:5" ht="16" x14ac:dyDescent="0.45">
      <c r="A197" s="4">
        <v>193</v>
      </c>
      <c r="B197" s="4" t="str">
        <f>Data_Historis_Mingguan!B197</f>
        <v>Jun 06, 2025</v>
      </c>
      <c r="C197" s="10">
        <f>Data_Historis_Mingguan!F197</f>
        <v>3775.76</v>
      </c>
      <c r="D197" s="10">
        <f>Data_Historis_Mingguan!F196</f>
        <v>3809.66</v>
      </c>
      <c r="E197" s="10">
        <f t="shared" si="2"/>
        <v>-33.899999999999636</v>
      </c>
    </row>
    <row r="198" spans="1:5" ht="16" x14ac:dyDescent="0.45">
      <c r="A198" s="7">
        <v>194</v>
      </c>
      <c r="B198" s="7" t="str">
        <f>Data_Historis_Mingguan!B198</f>
        <v>Jun 13, 2025</v>
      </c>
      <c r="C198" s="11">
        <f>Data_Historis_Mingguan!F198</f>
        <v>3938.13</v>
      </c>
      <c r="D198" s="11">
        <f>Data_Historis_Mingguan!F197</f>
        <v>3775.76</v>
      </c>
      <c r="E198" s="11">
        <f t="shared" ref="E198:E261" si="3">C198-D198</f>
        <v>162.36999999999989</v>
      </c>
    </row>
    <row r="199" spans="1:5" ht="16" x14ac:dyDescent="0.45">
      <c r="A199" s="4">
        <v>195</v>
      </c>
      <c r="B199" s="4" t="str">
        <f>Data_Historis_Mingguan!B199</f>
        <v>Jun 20, 2025</v>
      </c>
      <c r="C199" s="10">
        <f>Data_Historis_Mingguan!F199</f>
        <v>3940.44</v>
      </c>
      <c r="D199" s="10">
        <f>Data_Historis_Mingguan!F198</f>
        <v>3938.13</v>
      </c>
      <c r="E199" s="10">
        <f t="shared" si="3"/>
        <v>2.3099999999999454</v>
      </c>
    </row>
    <row r="200" spans="1:5" ht="16" x14ac:dyDescent="0.45">
      <c r="A200" s="7">
        <v>196</v>
      </c>
      <c r="B200" s="7" t="str">
        <f>Data_Historis_Mingguan!B200</f>
        <v>Jun 27, 2025</v>
      </c>
      <c r="C200" s="11">
        <f>Data_Historis_Mingguan!F200</f>
        <v>3971.32</v>
      </c>
      <c r="D200" s="11">
        <f>Data_Historis_Mingguan!F199</f>
        <v>3940.44</v>
      </c>
      <c r="E200" s="11">
        <f t="shared" si="3"/>
        <v>30.880000000000109</v>
      </c>
    </row>
    <row r="201" spans="1:5" ht="16" x14ac:dyDescent="0.45">
      <c r="A201" s="4">
        <v>197</v>
      </c>
      <c r="B201" s="4" t="str">
        <f>Data_Historis_Mingguan!B201</f>
        <v>Jul 04, 2025</v>
      </c>
      <c r="C201" s="10">
        <f>Data_Historis_Mingguan!F201</f>
        <v>3952.23</v>
      </c>
      <c r="D201" s="10">
        <f>Data_Historis_Mingguan!F200</f>
        <v>3971.32</v>
      </c>
      <c r="E201" s="10">
        <f t="shared" si="3"/>
        <v>-19.090000000000146</v>
      </c>
    </row>
    <row r="202" spans="1:5" ht="16" x14ac:dyDescent="0.45">
      <c r="A202" s="7">
        <v>198</v>
      </c>
      <c r="B202" s="7" t="str">
        <f>Data_Historis_Mingguan!B202</f>
        <v>Jul 11, 2025</v>
      </c>
      <c r="C202" s="11">
        <f>Data_Historis_Mingguan!F202</f>
        <v>3954.27</v>
      </c>
      <c r="D202" s="11">
        <f>Data_Historis_Mingguan!F201</f>
        <v>3952.23</v>
      </c>
      <c r="E202" s="11">
        <f t="shared" si="3"/>
        <v>2.0399999999999636</v>
      </c>
    </row>
    <row r="203" spans="1:5" ht="16" x14ac:dyDescent="0.45">
      <c r="A203" s="4">
        <v>199</v>
      </c>
      <c r="B203" s="4" t="str">
        <f>Data_Historis_Mingguan!B203</f>
        <v>Jul 18, 2025</v>
      </c>
      <c r="C203" s="10">
        <f>Data_Historis_Mingguan!F203</f>
        <v>4029.42</v>
      </c>
      <c r="D203" s="10">
        <f>Data_Historis_Mingguan!F202</f>
        <v>3954.27</v>
      </c>
      <c r="E203" s="10">
        <f t="shared" si="3"/>
        <v>75.150000000000091</v>
      </c>
    </row>
    <row r="204" spans="1:5" ht="16" x14ac:dyDescent="0.45">
      <c r="A204" s="7">
        <v>200</v>
      </c>
      <c r="B204" s="7" t="str">
        <f>Data_Historis_Mingguan!B204</f>
        <v>Jul 25, 2025</v>
      </c>
      <c r="C204" s="11">
        <f>Data_Historis_Mingguan!F204</f>
        <v>4059.7</v>
      </c>
      <c r="D204" s="11">
        <f>Data_Historis_Mingguan!F203</f>
        <v>4029.42</v>
      </c>
      <c r="E204" s="11">
        <f t="shared" si="3"/>
        <v>30.279999999999745</v>
      </c>
    </row>
    <row r="205" spans="1:5" ht="16" x14ac:dyDescent="0.45">
      <c r="A205" s="4">
        <v>201</v>
      </c>
      <c r="B205" s="4" t="str">
        <f>Data_Historis_Mingguan!B205</f>
        <v>Aug 01, 2025</v>
      </c>
      <c r="C205" s="10">
        <f>Data_Historis_Mingguan!F205</f>
        <v>3992.49</v>
      </c>
      <c r="D205" s="10">
        <f>Data_Historis_Mingguan!F204</f>
        <v>4059.7</v>
      </c>
      <c r="E205" s="10">
        <f t="shared" si="3"/>
        <v>-67.210000000000036</v>
      </c>
    </row>
    <row r="206" spans="1:5" ht="16" x14ac:dyDescent="0.45">
      <c r="A206" s="7">
        <v>202</v>
      </c>
      <c r="B206" s="7" t="str">
        <f>Data_Historis_Mingguan!B206</f>
        <v>Aug 08, 2025</v>
      </c>
      <c r="C206" s="11">
        <f>Data_Historis_Mingguan!F206</f>
        <v>3892.41</v>
      </c>
      <c r="D206" s="11">
        <f>Data_Historis_Mingguan!F205</f>
        <v>3992.49</v>
      </c>
      <c r="E206" s="11">
        <f t="shared" si="3"/>
        <v>-100.07999999999993</v>
      </c>
    </row>
    <row r="207" spans="1:5" ht="16" x14ac:dyDescent="0.45">
      <c r="A207" s="4">
        <v>203</v>
      </c>
      <c r="B207" s="4" t="str">
        <f>Data_Historis_Mingguan!B207</f>
        <v>Aug 15, 2025</v>
      </c>
      <c r="C207" s="10">
        <f>Data_Historis_Mingguan!F207</f>
        <v>3952.33</v>
      </c>
      <c r="D207" s="10">
        <f>Data_Historis_Mingguan!F206</f>
        <v>3892.41</v>
      </c>
      <c r="E207" s="10">
        <f t="shared" si="3"/>
        <v>59.920000000000073</v>
      </c>
    </row>
    <row r="208" spans="1:5" ht="16" x14ac:dyDescent="0.45">
      <c r="A208" s="7">
        <v>204</v>
      </c>
      <c r="B208" s="7" t="str">
        <f>Data_Historis_Mingguan!B208</f>
        <v>Aug 22, 2025</v>
      </c>
      <c r="C208" s="11">
        <f>Data_Historis_Mingguan!F208</f>
        <v>4018.07</v>
      </c>
      <c r="D208" s="11">
        <f>Data_Historis_Mingguan!F207</f>
        <v>3952.33</v>
      </c>
      <c r="E208" s="11">
        <f t="shared" si="3"/>
        <v>65.740000000000236</v>
      </c>
    </row>
    <row r="209" spans="1:5" ht="16" x14ac:dyDescent="0.45">
      <c r="A209" s="4">
        <v>205</v>
      </c>
      <c r="B209" s="4" t="str">
        <f>Data_Historis_Mingguan!B209</f>
        <v>Aug 29, 2025</v>
      </c>
      <c r="C209" s="10">
        <f>Data_Historis_Mingguan!F209</f>
        <v>3946.57</v>
      </c>
      <c r="D209" s="10">
        <f>Data_Historis_Mingguan!F208</f>
        <v>4018.07</v>
      </c>
      <c r="E209" s="10">
        <f t="shared" si="3"/>
        <v>-71.5</v>
      </c>
    </row>
    <row r="210" spans="1:5" ht="16" x14ac:dyDescent="0.45">
      <c r="A210" s="7">
        <v>206</v>
      </c>
      <c r="B210" s="7" t="str">
        <f>Data_Historis_Mingguan!B210</f>
        <v>Sep 05, 2025</v>
      </c>
      <c r="C210" s="11">
        <f>Data_Historis_Mingguan!F210</f>
        <v>3901.04</v>
      </c>
      <c r="D210" s="11">
        <f>Data_Historis_Mingguan!F209</f>
        <v>3946.57</v>
      </c>
      <c r="E210" s="11">
        <f t="shared" si="3"/>
        <v>-45.5300000000002</v>
      </c>
    </row>
    <row r="211" spans="1:5" ht="16" x14ac:dyDescent="0.45">
      <c r="A211" s="4">
        <v>207</v>
      </c>
      <c r="B211" s="4" t="str">
        <f>Data_Historis_Mingguan!B211</f>
        <v>Sep 12, 2025</v>
      </c>
      <c r="C211" s="10">
        <f>Data_Historis_Mingguan!F211</f>
        <v>3964.44</v>
      </c>
      <c r="D211" s="10">
        <f>Data_Historis_Mingguan!F210</f>
        <v>3901.04</v>
      </c>
      <c r="E211" s="10">
        <f t="shared" si="3"/>
        <v>63.400000000000091</v>
      </c>
    </row>
    <row r="212" spans="1:5" ht="16" x14ac:dyDescent="0.45">
      <c r="A212" s="7">
        <v>208</v>
      </c>
      <c r="B212" s="7" t="str">
        <f>Data_Historis_Mingguan!B212</f>
        <v>Sep 19, 2025</v>
      </c>
      <c r="C212" s="11">
        <f>Data_Historis_Mingguan!F212</f>
        <v>3902.2</v>
      </c>
      <c r="D212" s="11">
        <f>Data_Historis_Mingguan!F211</f>
        <v>3964.44</v>
      </c>
      <c r="E212" s="11">
        <f t="shared" si="3"/>
        <v>-62.240000000000236</v>
      </c>
    </row>
    <row r="213" spans="1:5" ht="16" x14ac:dyDescent="0.45">
      <c r="A213" s="4">
        <v>209</v>
      </c>
      <c r="B213" s="4" t="str">
        <f>Data_Historis_Mingguan!B213</f>
        <v>Sep 26, 2025</v>
      </c>
      <c r="C213" s="10">
        <f>Data_Historis_Mingguan!F213</f>
        <v>3895.1</v>
      </c>
      <c r="D213" s="10">
        <f>Data_Historis_Mingguan!F212</f>
        <v>3902.2</v>
      </c>
      <c r="E213" s="10">
        <f t="shared" si="3"/>
        <v>-7.0999999999999091</v>
      </c>
    </row>
    <row r="214" spans="1:5" ht="16" x14ac:dyDescent="0.45">
      <c r="A214" s="7">
        <v>210</v>
      </c>
      <c r="B214" s="7" t="str">
        <f>Data_Historis_Mingguan!B214</f>
        <v>Oct 03, 2025</v>
      </c>
      <c r="C214" s="11">
        <f>Data_Historis_Mingguan!F214</f>
        <v>3817.86</v>
      </c>
      <c r="D214" s="11">
        <f>Data_Historis_Mingguan!F213</f>
        <v>3895.1</v>
      </c>
      <c r="E214" s="11">
        <f t="shared" si="3"/>
        <v>-77.239999999999782</v>
      </c>
    </row>
    <row r="215" spans="1:5" ht="16" x14ac:dyDescent="0.45">
      <c r="A215" s="4">
        <v>211</v>
      </c>
      <c r="B215" s="4" t="str">
        <f>Data_Historis_Mingguan!B215</f>
        <v>Oct 10, 2025</v>
      </c>
      <c r="C215" s="10">
        <f>Data_Historis_Mingguan!F215</f>
        <v>3904.73</v>
      </c>
      <c r="D215" s="10">
        <f>Data_Historis_Mingguan!F214</f>
        <v>3817.86</v>
      </c>
      <c r="E215" s="10">
        <f t="shared" si="3"/>
        <v>86.869999999999891</v>
      </c>
    </row>
    <row r="216" spans="1:5" ht="16" x14ac:dyDescent="0.45">
      <c r="A216" s="7">
        <v>212</v>
      </c>
      <c r="B216" s="7" t="str">
        <f>Data_Historis_Mingguan!B216</f>
        <v>Oct 17, 2025</v>
      </c>
      <c r="C216" s="11">
        <f>Data_Historis_Mingguan!F216</f>
        <v>3823.6</v>
      </c>
      <c r="D216" s="11">
        <f>Data_Historis_Mingguan!F215</f>
        <v>3904.73</v>
      </c>
      <c r="E216" s="11">
        <f t="shared" si="3"/>
        <v>-81.130000000000109</v>
      </c>
    </row>
    <row r="217" spans="1:5" ht="16" x14ac:dyDescent="0.45">
      <c r="A217" s="4">
        <v>213</v>
      </c>
      <c r="B217" s="4" t="str">
        <f>Data_Historis_Mingguan!B217</f>
        <v>Oct 24, 2025</v>
      </c>
      <c r="C217" s="10">
        <f>Data_Historis_Mingguan!F217</f>
        <v>3811.05</v>
      </c>
      <c r="D217" s="10">
        <f>Data_Historis_Mingguan!F216</f>
        <v>3823.6</v>
      </c>
      <c r="E217" s="10">
        <f t="shared" si="3"/>
        <v>-12.549999999999727</v>
      </c>
    </row>
    <row r="218" spans="1:5" ht="16" x14ac:dyDescent="0.45">
      <c r="A218" s="7">
        <v>214</v>
      </c>
      <c r="B218" s="7" t="str">
        <f>Data_Historis_Mingguan!B218</f>
        <v>Oct 31, 2025</v>
      </c>
      <c r="C218" s="11">
        <f>Data_Historis_Mingguan!F218</f>
        <v>3856.6</v>
      </c>
      <c r="D218" s="11">
        <f>Data_Historis_Mingguan!F217</f>
        <v>3811.05</v>
      </c>
      <c r="E218" s="11">
        <f t="shared" si="3"/>
        <v>45.549999999999727</v>
      </c>
    </row>
    <row r="219" spans="1:5" ht="16" x14ac:dyDescent="0.45">
      <c r="A219" s="4">
        <v>215</v>
      </c>
      <c r="B219" s="4" t="str">
        <f>Data_Historis_Mingguan!B219</f>
        <v>Nov 07, 2025</v>
      </c>
      <c r="C219" s="10">
        <f>Data_Historis_Mingguan!F219</f>
        <v>3898.61</v>
      </c>
      <c r="D219" s="10">
        <f>Data_Historis_Mingguan!F218</f>
        <v>3856.6</v>
      </c>
      <c r="E219" s="10">
        <f t="shared" si="3"/>
        <v>42.010000000000218</v>
      </c>
    </row>
    <row r="220" spans="1:5" ht="16" x14ac:dyDescent="0.45">
      <c r="A220" s="7">
        <v>216</v>
      </c>
      <c r="B220" s="7" t="str">
        <f>Data_Historis_Mingguan!B220</f>
        <v>Nov 14, 2025</v>
      </c>
      <c r="C220" s="11">
        <f>Data_Historis_Mingguan!F220</f>
        <v>3990.31</v>
      </c>
      <c r="D220" s="11">
        <f>Data_Historis_Mingguan!F219</f>
        <v>3898.61</v>
      </c>
      <c r="E220" s="11">
        <f t="shared" si="3"/>
        <v>91.699999999999818</v>
      </c>
    </row>
    <row r="221" spans="1:5" ht="16" x14ac:dyDescent="0.45">
      <c r="A221" s="4">
        <v>217</v>
      </c>
      <c r="B221" s="4" t="str">
        <f>Data_Historis_Mingguan!B221</f>
        <v>Nov 21, 2025</v>
      </c>
      <c r="C221" s="10">
        <f>Data_Historis_Mingguan!F221</f>
        <v>3950.94</v>
      </c>
      <c r="D221" s="10">
        <f>Data_Historis_Mingguan!F220</f>
        <v>3990.31</v>
      </c>
      <c r="E221" s="10">
        <f t="shared" si="3"/>
        <v>-39.369999999999891</v>
      </c>
    </row>
    <row r="222" spans="1:5" ht="16" x14ac:dyDescent="0.45">
      <c r="A222" s="7">
        <v>218</v>
      </c>
      <c r="B222" s="7" t="str">
        <f>Data_Historis_Mingguan!B222</f>
        <v>Nov 28, 2025</v>
      </c>
      <c r="C222" s="11">
        <f>Data_Historis_Mingguan!F222</f>
        <v>3822.69</v>
      </c>
      <c r="D222" s="11">
        <f>Data_Historis_Mingguan!F221</f>
        <v>3950.94</v>
      </c>
      <c r="E222" s="11">
        <f t="shared" si="3"/>
        <v>-128.25</v>
      </c>
    </row>
    <row r="223" spans="1:5" ht="16" x14ac:dyDescent="0.45">
      <c r="A223" s="4">
        <v>219</v>
      </c>
      <c r="B223" s="4" t="str">
        <f>Data_Historis_Mingguan!B223</f>
        <v>Dec 05, 2025</v>
      </c>
      <c r="C223" s="10">
        <f>Data_Historis_Mingguan!F223</f>
        <v>3920.51</v>
      </c>
      <c r="D223" s="10">
        <f>Data_Historis_Mingguan!F222</f>
        <v>3822.69</v>
      </c>
      <c r="E223" s="10">
        <f t="shared" si="3"/>
        <v>97.820000000000164</v>
      </c>
    </row>
    <row r="224" spans="1:5" ht="16" x14ac:dyDescent="0.45">
      <c r="A224" s="7">
        <v>220</v>
      </c>
      <c r="B224" s="7" t="str">
        <f>Data_Historis_Mingguan!B224</f>
        <v>Dec 12, 2025</v>
      </c>
      <c r="C224" s="11">
        <f>Data_Historis_Mingguan!F224</f>
        <v>3919.34</v>
      </c>
      <c r="D224" s="11">
        <f>Data_Historis_Mingguan!F223</f>
        <v>3920.51</v>
      </c>
      <c r="E224" s="11">
        <f t="shared" si="3"/>
        <v>-1.1700000000000728</v>
      </c>
    </row>
    <row r="225" spans="1:5" ht="16" x14ac:dyDescent="0.45">
      <c r="A225" s="4">
        <v>221</v>
      </c>
      <c r="B225" s="4" t="str">
        <f>Data_Historis_Mingguan!B225</f>
        <v>Dec 19, 2025</v>
      </c>
      <c r="C225" s="10">
        <f>Data_Historis_Mingguan!F225</f>
        <v>3980.59</v>
      </c>
      <c r="D225" s="10">
        <f>Data_Historis_Mingguan!F224</f>
        <v>3919.34</v>
      </c>
      <c r="E225" s="10">
        <f t="shared" si="3"/>
        <v>61.25</v>
      </c>
    </row>
    <row r="226" spans="1:5" ht="16" x14ac:dyDescent="0.45">
      <c r="A226" s="7">
        <v>222</v>
      </c>
      <c r="B226" s="7" t="str">
        <f>Data_Historis_Mingguan!B226</f>
        <v>Dec 26, 2025</v>
      </c>
      <c r="C226" s="11">
        <f>Data_Historis_Mingguan!F226</f>
        <v>3994.37</v>
      </c>
      <c r="D226" s="11">
        <f>Data_Historis_Mingguan!F225</f>
        <v>3980.59</v>
      </c>
      <c r="E226" s="11">
        <f t="shared" si="3"/>
        <v>13.779999999999745</v>
      </c>
    </row>
    <row r="227" spans="1:5" ht="16" x14ac:dyDescent="0.45">
      <c r="A227" s="4">
        <v>223</v>
      </c>
      <c r="B227" s="4" t="str">
        <f>Data_Historis_Mingguan!B227</f>
        <v>Jan 02, 2026</v>
      </c>
      <c r="C227" s="10">
        <f>Data_Historis_Mingguan!F227</f>
        <v>4116.55</v>
      </c>
      <c r="D227" s="10">
        <f>Data_Historis_Mingguan!F226</f>
        <v>3994.37</v>
      </c>
      <c r="E227" s="10">
        <f t="shared" si="3"/>
        <v>122.18000000000029</v>
      </c>
    </row>
    <row r="228" spans="1:5" ht="16" x14ac:dyDescent="0.45">
      <c r="A228" s="7">
        <v>224</v>
      </c>
      <c r="B228" s="7" t="str">
        <f>Data_Historis_Mingguan!B228</f>
        <v>Jan 09, 2026</v>
      </c>
      <c r="C228" s="11">
        <f>Data_Historis_Mingguan!F228</f>
        <v>4091.87</v>
      </c>
      <c r="D228" s="11">
        <f>Data_Historis_Mingguan!F227</f>
        <v>4116.55</v>
      </c>
      <c r="E228" s="11">
        <f t="shared" si="3"/>
        <v>-24.680000000000291</v>
      </c>
    </row>
    <row r="229" spans="1:5" ht="16" x14ac:dyDescent="0.45">
      <c r="A229" s="4">
        <v>225</v>
      </c>
      <c r="B229" s="4" t="str">
        <f>Data_Historis_Mingguan!B229</f>
        <v>Jan 16, 2026</v>
      </c>
      <c r="C229" s="10">
        <f>Data_Historis_Mingguan!F229</f>
        <v>4155.84</v>
      </c>
      <c r="D229" s="10">
        <f>Data_Historis_Mingguan!F228</f>
        <v>4091.87</v>
      </c>
      <c r="E229" s="10">
        <f t="shared" si="3"/>
        <v>63.970000000000255</v>
      </c>
    </row>
    <row r="230" spans="1:5" ht="16" x14ac:dyDescent="0.45">
      <c r="A230" s="7">
        <v>226</v>
      </c>
      <c r="B230" s="7" t="str">
        <f>Data_Historis_Mingguan!B230</f>
        <v>Jan 23, 2026</v>
      </c>
      <c r="C230" s="11">
        <f>Data_Historis_Mingguan!F230</f>
        <v>4160.05</v>
      </c>
      <c r="D230" s="11">
        <f>Data_Historis_Mingguan!F229</f>
        <v>4155.84</v>
      </c>
      <c r="E230" s="11">
        <f t="shared" si="3"/>
        <v>4.2100000000000364</v>
      </c>
    </row>
    <row r="231" spans="1:5" ht="16" x14ac:dyDescent="0.45">
      <c r="A231" s="4">
        <v>227</v>
      </c>
      <c r="B231" s="4" t="str">
        <f>Data_Historis_Mingguan!B231</f>
        <v>Jan 30, 2026</v>
      </c>
      <c r="C231" s="10">
        <f>Data_Historis_Mingguan!F231</f>
        <v>4179.2</v>
      </c>
      <c r="D231" s="10">
        <f>Data_Historis_Mingguan!F230</f>
        <v>4160.05</v>
      </c>
      <c r="E231" s="10">
        <f t="shared" si="3"/>
        <v>19.149999999999636</v>
      </c>
    </row>
    <row r="232" spans="1:5" ht="16" x14ac:dyDescent="0.45">
      <c r="A232" s="7">
        <v>228</v>
      </c>
      <c r="B232" s="7" t="str">
        <f>Data_Historis_Mingguan!B232</f>
        <v>Feb 06, 2026</v>
      </c>
      <c r="C232" s="11">
        <f>Data_Historis_Mingguan!F232</f>
        <v>4166.21</v>
      </c>
      <c r="D232" s="11">
        <f>Data_Historis_Mingguan!F231</f>
        <v>4179.2</v>
      </c>
      <c r="E232" s="11">
        <f t="shared" si="3"/>
        <v>-12.989999999999782</v>
      </c>
    </row>
    <row r="233" spans="1:5" ht="16" x14ac:dyDescent="0.45">
      <c r="A233" s="4">
        <v>229</v>
      </c>
      <c r="B233" s="4" t="str">
        <f>Data_Historis_Mingguan!B233</f>
        <v>Feb 13, 2026</v>
      </c>
      <c r="C233" s="10">
        <f>Data_Historis_Mingguan!F233</f>
        <v>4227.92</v>
      </c>
      <c r="D233" s="10">
        <f>Data_Historis_Mingguan!F232</f>
        <v>4166.21</v>
      </c>
      <c r="E233" s="10">
        <f t="shared" si="3"/>
        <v>61.710000000000036</v>
      </c>
    </row>
    <row r="234" spans="1:5" ht="16" x14ac:dyDescent="0.45">
      <c r="A234" s="7">
        <v>230</v>
      </c>
      <c r="B234" s="7" t="str">
        <f>Data_Historis_Mingguan!B234</f>
        <v>Feb 20, 2026</v>
      </c>
      <c r="C234" s="11">
        <f>Data_Historis_Mingguan!F234</f>
        <v>4225.74</v>
      </c>
      <c r="D234" s="11">
        <f>Data_Historis_Mingguan!F233</f>
        <v>4227.92</v>
      </c>
      <c r="E234" s="11">
        <f t="shared" si="3"/>
        <v>-2.180000000000291</v>
      </c>
    </row>
    <row r="235" spans="1:5" ht="16" x14ac:dyDescent="0.45">
      <c r="A235" s="4">
        <v>231</v>
      </c>
      <c r="B235" s="4" t="str">
        <f>Data_Historis_Mingguan!B235</f>
        <v>Feb 27, 2026</v>
      </c>
      <c r="C235" s="10">
        <f>Data_Historis_Mingguan!F235</f>
        <v>4288.6899999999996</v>
      </c>
      <c r="D235" s="10">
        <f>Data_Historis_Mingguan!F234</f>
        <v>4225.74</v>
      </c>
      <c r="E235" s="10">
        <f t="shared" si="3"/>
        <v>62.949999999999818</v>
      </c>
    </row>
    <row r="236" spans="1:5" ht="16" x14ac:dyDescent="0.45">
      <c r="A236" s="7">
        <v>232</v>
      </c>
      <c r="B236" s="7" t="str">
        <f>Data_Historis_Mingguan!B236</f>
        <v>Mar 06, 2026</v>
      </c>
      <c r="C236" s="11">
        <f>Data_Historis_Mingguan!F236</f>
        <v>4325.8500000000004</v>
      </c>
      <c r="D236" s="11">
        <f>Data_Historis_Mingguan!F235</f>
        <v>4288.6899999999996</v>
      </c>
      <c r="E236" s="11">
        <f t="shared" si="3"/>
        <v>37.160000000000764</v>
      </c>
    </row>
    <row r="237" spans="1:5" ht="16" x14ac:dyDescent="0.45">
      <c r="A237" s="4">
        <v>233</v>
      </c>
      <c r="B237" s="4" t="str">
        <f>Data_Historis_Mingguan!B237</f>
        <v>Mar 13, 2026</v>
      </c>
      <c r="C237" s="10">
        <f>Data_Historis_Mingguan!F237</f>
        <v>4371.41</v>
      </c>
      <c r="D237" s="10">
        <f>Data_Historis_Mingguan!F236</f>
        <v>4325.8500000000004</v>
      </c>
      <c r="E237" s="10">
        <f t="shared" si="3"/>
        <v>45.559999999999491</v>
      </c>
    </row>
    <row r="238" spans="1:5" ht="16" x14ac:dyDescent="0.45">
      <c r="A238" s="7">
        <v>234</v>
      </c>
      <c r="B238" s="7" t="str">
        <f>Data_Historis_Mingguan!B238</f>
        <v>Mar 20, 2026</v>
      </c>
      <c r="C238" s="11">
        <f>Data_Historis_Mingguan!F238</f>
        <v>4275.3500000000004</v>
      </c>
      <c r="D238" s="11">
        <f>Data_Historis_Mingguan!F237</f>
        <v>4371.41</v>
      </c>
      <c r="E238" s="11">
        <f t="shared" si="3"/>
        <v>-96.059999999999491</v>
      </c>
    </row>
    <row r="239" spans="1:5" ht="16" x14ac:dyDescent="0.45">
      <c r="A239" s="4">
        <v>235</v>
      </c>
      <c r="B239" s="4" t="str">
        <f>Data_Historis_Mingguan!B239</f>
        <v>Mar 27, 2026</v>
      </c>
      <c r="C239" s="10">
        <f>Data_Historis_Mingguan!F239</f>
        <v>4314.8</v>
      </c>
      <c r="D239" s="10">
        <f>Data_Historis_Mingguan!F238</f>
        <v>4275.3500000000004</v>
      </c>
      <c r="E239" s="10">
        <f t="shared" si="3"/>
        <v>39.449999999999818</v>
      </c>
    </row>
    <row r="240" spans="1:5" ht="16" x14ac:dyDescent="0.45">
      <c r="A240" s="7">
        <v>236</v>
      </c>
      <c r="B240" s="7" t="str">
        <f>Data_Historis_Mingguan!B240</f>
        <v>Apr 03, 2026</v>
      </c>
      <c r="C240" s="11">
        <f>Data_Historis_Mingguan!F240</f>
        <v>4246.33</v>
      </c>
      <c r="D240" s="11">
        <f>Data_Historis_Mingguan!F239</f>
        <v>4314.8</v>
      </c>
      <c r="E240" s="11">
        <f t="shared" si="3"/>
        <v>-68.470000000000255</v>
      </c>
    </row>
    <row r="241" spans="1:5" ht="16" x14ac:dyDescent="0.45">
      <c r="A241" s="4">
        <v>237</v>
      </c>
      <c r="B241" s="4" t="str">
        <f>Data_Historis_Mingguan!B241</f>
        <v>Apr 10, 2026</v>
      </c>
      <c r="C241" s="10">
        <f>Data_Historis_Mingguan!F241</f>
        <v>4230.8500000000004</v>
      </c>
      <c r="D241" s="10">
        <f>Data_Historis_Mingguan!F240</f>
        <v>4246.33</v>
      </c>
      <c r="E241" s="10">
        <f t="shared" si="3"/>
        <v>-15.479999999999563</v>
      </c>
    </row>
    <row r="242" spans="1:5" ht="16" x14ac:dyDescent="0.45">
      <c r="A242" s="7">
        <v>238</v>
      </c>
      <c r="B242" s="7" t="str">
        <f>Data_Historis_Mingguan!B242</f>
        <v>Apr 17, 2026</v>
      </c>
      <c r="C242" s="11">
        <f>Data_Historis_Mingguan!F242</f>
        <v>4166.3</v>
      </c>
      <c r="D242" s="11">
        <f>Data_Historis_Mingguan!F241</f>
        <v>4230.8500000000004</v>
      </c>
      <c r="E242" s="11">
        <f t="shared" si="3"/>
        <v>-64.550000000000182</v>
      </c>
    </row>
    <row r="243" spans="1:5" ht="16" x14ac:dyDescent="0.45">
      <c r="A243" s="4">
        <v>239</v>
      </c>
      <c r="B243" s="4" t="str">
        <f>Data_Historis_Mingguan!B243</f>
        <v>Apr 24, 2026</v>
      </c>
      <c r="C243" s="10">
        <f>Data_Historis_Mingguan!F243</f>
        <v>4232.76</v>
      </c>
      <c r="D243" s="10">
        <f>Data_Historis_Mingguan!F242</f>
        <v>4166.3</v>
      </c>
      <c r="E243" s="10">
        <f t="shared" si="3"/>
        <v>66.460000000000036</v>
      </c>
    </row>
    <row r="244" spans="1:5" ht="16" x14ac:dyDescent="0.45">
      <c r="A244" s="7">
        <v>240</v>
      </c>
      <c r="B244" s="7" t="str">
        <f>Data_Historis_Mingguan!B244</f>
        <v>May 01, 2026</v>
      </c>
      <c r="C244" s="11">
        <f>Data_Historis_Mingguan!F244</f>
        <v>4256.95</v>
      </c>
      <c r="D244" s="11">
        <f>Data_Historis_Mingguan!F243</f>
        <v>4232.76</v>
      </c>
      <c r="E244" s="11">
        <f t="shared" si="3"/>
        <v>24.1899999999996</v>
      </c>
    </row>
    <row r="245" spans="1:5" ht="16" x14ac:dyDescent="0.45">
      <c r="A245" s="4">
        <v>241</v>
      </c>
      <c r="B245" s="4" t="str">
        <f>Data_Historis_Mingguan!B245</f>
        <v>May 08, 2026</v>
      </c>
      <c r="C245" s="10">
        <f>Data_Historis_Mingguan!F245</f>
        <v>4180.01</v>
      </c>
      <c r="D245" s="10">
        <f>Data_Historis_Mingguan!F244</f>
        <v>4256.95</v>
      </c>
      <c r="E245" s="10">
        <f t="shared" si="3"/>
        <v>-76.9399999999996</v>
      </c>
    </row>
    <row r="246" spans="1:5" ht="16" x14ac:dyDescent="0.45">
      <c r="A246" s="7">
        <v>242</v>
      </c>
      <c r="B246" s="7" t="str">
        <f>Data_Historis_Mingguan!B246</f>
        <v>May 15, 2026</v>
      </c>
      <c r="C246" s="11">
        <f>Data_Historis_Mingguan!F246</f>
        <v>4127.38</v>
      </c>
      <c r="D246" s="11">
        <f>Data_Historis_Mingguan!F245</f>
        <v>4180.01</v>
      </c>
      <c r="E246" s="11">
        <f t="shared" si="3"/>
        <v>-52.630000000000109</v>
      </c>
    </row>
    <row r="247" spans="1:5" ht="16" x14ac:dyDescent="0.45">
      <c r="A247" s="4">
        <v>243</v>
      </c>
      <c r="B247" s="4" t="str">
        <f>Data_Historis_Mingguan!B247</f>
        <v>May 22, 2026</v>
      </c>
      <c r="C247" s="10">
        <f>Data_Historis_Mingguan!F247</f>
        <v>4053.94</v>
      </c>
      <c r="D247" s="10">
        <f>Data_Historis_Mingguan!F246</f>
        <v>4127.38</v>
      </c>
      <c r="E247" s="10">
        <f t="shared" si="3"/>
        <v>-73.440000000000055</v>
      </c>
    </row>
    <row r="248" spans="1:5" ht="16" x14ac:dyDescent="0.45">
      <c r="A248" s="7">
        <v>244</v>
      </c>
      <c r="B248" s="7" t="str">
        <f>Data_Historis_Mingguan!B248</f>
        <v>May 29, 2026</v>
      </c>
      <c r="C248" s="11">
        <f>Data_Historis_Mingguan!F248</f>
        <v>4054.6</v>
      </c>
      <c r="D248" s="11">
        <f>Data_Historis_Mingguan!F247</f>
        <v>4053.94</v>
      </c>
      <c r="E248" s="11">
        <f t="shared" si="3"/>
        <v>0.65999999999985448</v>
      </c>
    </row>
    <row r="249" spans="1:5" ht="16" x14ac:dyDescent="0.45">
      <c r="A249" s="4">
        <v>245</v>
      </c>
      <c r="B249" s="4" t="str">
        <f>Data_Historis_Mingguan!B249</f>
        <v>Jun 05, 2026</v>
      </c>
      <c r="C249" s="10">
        <f>Data_Historis_Mingguan!F249</f>
        <v>4017.16</v>
      </c>
      <c r="D249" s="10">
        <f>Data_Historis_Mingguan!F248</f>
        <v>4054.6</v>
      </c>
      <c r="E249" s="10">
        <f t="shared" si="3"/>
        <v>-37.440000000000055</v>
      </c>
    </row>
    <row r="250" spans="1:5" ht="16" x14ac:dyDescent="0.45">
      <c r="A250" s="7">
        <v>246</v>
      </c>
      <c r="B250" s="7" t="str">
        <f>Data_Historis_Mingguan!B250</f>
        <v>Jun 12, 2026</v>
      </c>
      <c r="C250" s="11">
        <f>Data_Historis_Mingguan!F250</f>
        <v>4041.22</v>
      </c>
      <c r="D250" s="11">
        <f>Data_Historis_Mingguan!F249</f>
        <v>4017.16</v>
      </c>
      <c r="E250" s="11">
        <f t="shared" si="3"/>
        <v>24.059999999999945</v>
      </c>
    </row>
    <row r="251" spans="1:5" ht="16" x14ac:dyDescent="0.45">
      <c r="A251" s="4">
        <v>247</v>
      </c>
      <c r="B251" s="4" t="str">
        <f>Data_Historis_Mingguan!B251</f>
        <v>Jun 19, 2026</v>
      </c>
      <c r="C251" s="10">
        <f>Data_Historis_Mingguan!F251</f>
        <v>4058.23</v>
      </c>
      <c r="D251" s="10">
        <f>Data_Historis_Mingguan!F250</f>
        <v>4041.22</v>
      </c>
      <c r="E251" s="10">
        <f t="shared" si="3"/>
        <v>17.010000000000218</v>
      </c>
    </row>
    <row r="252" spans="1:5" ht="16" x14ac:dyDescent="0.45">
      <c r="A252" s="7">
        <v>248</v>
      </c>
      <c r="B252" s="7" t="str">
        <f>Data_Historis_Mingguan!B252</f>
        <v>Jun 26, 2026</v>
      </c>
      <c r="C252" s="11">
        <f>Data_Historis_Mingguan!F252</f>
        <v>4091.05</v>
      </c>
      <c r="D252" s="11">
        <f>Data_Historis_Mingguan!F251</f>
        <v>4058.23</v>
      </c>
      <c r="E252" s="11">
        <f t="shared" si="3"/>
        <v>32.820000000000164</v>
      </c>
    </row>
    <row r="253" spans="1:5" ht="16" x14ac:dyDescent="0.45">
      <c r="A253" s="4">
        <v>249</v>
      </c>
      <c r="B253" s="4" t="str">
        <f>Data_Historis_Mingguan!B253</f>
        <v>Jul 03, 2026</v>
      </c>
      <c r="C253" s="10">
        <f>Data_Historis_Mingguan!F253</f>
        <v>4241.16</v>
      </c>
      <c r="D253" s="10">
        <f>Data_Historis_Mingguan!F252</f>
        <v>4091.05</v>
      </c>
      <c r="E253" s="10">
        <f t="shared" si="3"/>
        <v>150.10999999999967</v>
      </c>
    </row>
    <row r="254" spans="1:5" ht="16" x14ac:dyDescent="0.45">
      <c r="A254" s="7">
        <v>250</v>
      </c>
      <c r="B254" s="7" t="str">
        <f>Data_Historis_Mingguan!B254</f>
        <v>Jul 10, 2026</v>
      </c>
      <c r="C254" s="11">
        <f>Data_Historis_Mingguan!F254</f>
        <v>4175.29</v>
      </c>
      <c r="D254" s="11">
        <f>Data_Historis_Mingguan!F253</f>
        <v>4241.16</v>
      </c>
      <c r="E254" s="11">
        <f t="shared" si="3"/>
        <v>-65.869999999999891</v>
      </c>
    </row>
    <row r="255" spans="1:5" ht="16" x14ac:dyDescent="0.45">
      <c r="A255" s="4">
        <v>251</v>
      </c>
      <c r="B255" s="4" t="str">
        <f>Data_Historis_Mingguan!B255</f>
        <v>Jul 17, 2026</v>
      </c>
      <c r="C255" s="10">
        <f>Data_Historis_Mingguan!F255</f>
        <v>4273.45</v>
      </c>
      <c r="D255" s="10">
        <f>Data_Historis_Mingguan!F254</f>
        <v>4175.29</v>
      </c>
      <c r="E255" s="10">
        <f t="shared" si="3"/>
        <v>98.159999999999854</v>
      </c>
    </row>
    <row r="256" spans="1:5" ht="16" x14ac:dyDescent="0.45">
      <c r="A256" s="7">
        <v>252</v>
      </c>
      <c r="B256" s="7" t="str">
        <f>Data_Historis_Mingguan!B256</f>
        <v>Jul 24, 2026</v>
      </c>
      <c r="C256" s="11">
        <f>Data_Historis_Mingguan!F256</f>
        <v>4300.8500000000004</v>
      </c>
      <c r="D256" s="11">
        <f>Data_Historis_Mingguan!F255</f>
        <v>4273.45</v>
      </c>
      <c r="E256" s="11">
        <f t="shared" si="3"/>
        <v>27.400000000000546</v>
      </c>
    </row>
    <row r="257" spans="1:5" ht="16" x14ac:dyDescent="0.45">
      <c r="A257" s="4">
        <v>253</v>
      </c>
      <c r="B257" s="4" t="str">
        <f>Data_Historis_Mingguan!B257</f>
        <v>Jul 31, 2026</v>
      </c>
      <c r="C257" s="10">
        <f>Data_Historis_Mingguan!F257</f>
        <v>4357.75</v>
      </c>
      <c r="D257" s="10">
        <f>Data_Historis_Mingguan!F256</f>
        <v>4300.8500000000004</v>
      </c>
      <c r="E257" s="10">
        <f t="shared" si="3"/>
        <v>56.899999999999636</v>
      </c>
    </row>
    <row r="258" spans="1:5" ht="16" x14ac:dyDescent="0.45">
      <c r="A258" s="7">
        <v>254</v>
      </c>
      <c r="B258" s="7" t="str">
        <f>Data_Historis_Mingguan!B258</f>
        <v>Aug 07, 2026</v>
      </c>
      <c r="C258" s="11">
        <f>Data_Historis_Mingguan!F258</f>
        <v>4323.13</v>
      </c>
      <c r="D258" s="11">
        <f>Data_Historis_Mingguan!F257</f>
        <v>4357.75</v>
      </c>
      <c r="E258" s="11">
        <f t="shared" si="3"/>
        <v>-34.619999999999891</v>
      </c>
    </row>
    <row r="259" spans="1:5" ht="16" x14ac:dyDescent="0.45">
      <c r="A259" s="4">
        <v>255</v>
      </c>
      <c r="B259" s="4" t="str">
        <f>Data_Historis_Mingguan!B259</f>
        <v>Aug 14, 2026</v>
      </c>
      <c r="C259" s="10">
        <f>Data_Historis_Mingguan!F259</f>
        <v>4289.37</v>
      </c>
      <c r="D259" s="10">
        <f>Data_Historis_Mingguan!F258</f>
        <v>4323.13</v>
      </c>
      <c r="E259" s="10">
        <f t="shared" si="3"/>
        <v>-33.760000000000218</v>
      </c>
    </row>
    <row r="260" spans="1:5" ht="16" x14ac:dyDescent="0.45">
      <c r="A260" s="7">
        <v>256</v>
      </c>
      <c r="B260" s="7" t="str">
        <f>Data_Historis_Mingguan!B260</f>
        <v>Aug 21, 2026</v>
      </c>
      <c r="C260" s="11">
        <f>Data_Historis_Mingguan!F260</f>
        <v>4332.28</v>
      </c>
      <c r="D260" s="11">
        <f>Data_Historis_Mingguan!F259</f>
        <v>4289.37</v>
      </c>
      <c r="E260" s="11">
        <f t="shared" si="3"/>
        <v>42.909999999999854</v>
      </c>
    </row>
    <row r="261" spans="1:5" ht="16" x14ac:dyDescent="0.45">
      <c r="A261" s="4">
        <v>257</v>
      </c>
      <c r="B261" s="4" t="str">
        <f>Data_Historis_Mingguan!B261</f>
        <v>Aug 28, 2026</v>
      </c>
      <c r="C261" s="10">
        <f>Data_Historis_Mingguan!F261</f>
        <v>4356.29</v>
      </c>
      <c r="D261" s="10">
        <f>Data_Historis_Mingguan!F260</f>
        <v>4332.28</v>
      </c>
      <c r="E261" s="10">
        <f t="shared" si="3"/>
        <v>24.010000000000218</v>
      </c>
    </row>
    <row r="262" spans="1:5" ht="16" x14ac:dyDescent="0.45">
      <c r="A262" s="7">
        <v>258</v>
      </c>
      <c r="B262" s="7" t="str">
        <f>Data_Historis_Mingguan!B262</f>
        <v>Sep 04, 2026</v>
      </c>
      <c r="C262" s="11">
        <f>Data_Historis_Mingguan!F262</f>
        <v>4468.03</v>
      </c>
      <c r="D262" s="11">
        <f>Data_Historis_Mingguan!F261</f>
        <v>4356.29</v>
      </c>
      <c r="E262" s="11">
        <f t="shared" ref="E262:E325" si="4">C262-D262</f>
        <v>111.73999999999978</v>
      </c>
    </row>
    <row r="263" spans="1:5" ht="16" x14ac:dyDescent="0.45">
      <c r="A263" s="4">
        <v>259</v>
      </c>
      <c r="B263" s="4" t="str">
        <f>Data_Historis_Mingguan!B263</f>
        <v>Sep 11, 2026</v>
      </c>
      <c r="C263" s="10">
        <f>Data_Historis_Mingguan!F263</f>
        <v>4534.6000000000004</v>
      </c>
      <c r="D263" s="10">
        <f>Data_Historis_Mingguan!F262</f>
        <v>4468.03</v>
      </c>
      <c r="E263" s="10">
        <f t="shared" si="4"/>
        <v>66.570000000000618</v>
      </c>
    </row>
    <row r="264" spans="1:5" ht="16" x14ac:dyDescent="0.45">
      <c r="A264" s="7">
        <v>260</v>
      </c>
      <c r="B264" s="7" t="str">
        <f>Data_Historis_Mingguan!B264</f>
        <v>Sep 18, 2026</v>
      </c>
      <c r="C264" s="11">
        <f>Data_Historis_Mingguan!F264</f>
        <v>4599.66</v>
      </c>
      <c r="D264" s="11">
        <f>Data_Historis_Mingguan!F263</f>
        <v>4534.6000000000004</v>
      </c>
      <c r="E264" s="11">
        <f t="shared" si="4"/>
        <v>65.059999999999491</v>
      </c>
    </row>
    <row r="265" spans="1:5" ht="16" x14ac:dyDescent="0.45">
      <c r="A265" s="4">
        <v>261</v>
      </c>
      <c r="B265" s="4" t="str">
        <f>Data_Historis_Mingguan!B265</f>
        <v>Sep 25, 2026</v>
      </c>
      <c r="C265" s="10">
        <f>Data_Historis_Mingguan!F265</f>
        <v>4553.08</v>
      </c>
      <c r="D265" s="10">
        <f>Data_Historis_Mingguan!F264</f>
        <v>4599.66</v>
      </c>
      <c r="E265" s="10">
        <f t="shared" si="4"/>
        <v>-46.579999999999927</v>
      </c>
    </row>
    <row r="266" spans="1:5" ht="16" x14ac:dyDescent="0.45">
      <c r="A266" s="7">
        <v>262</v>
      </c>
      <c r="B266" s="7" t="str">
        <f>Data_Historis_Mingguan!B266</f>
        <v>Oct 02, 2026</v>
      </c>
      <c r="C266" s="11">
        <f>Data_Historis_Mingguan!F266</f>
        <v>4378.8100000000004</v>
      </c>
      <c r="D266" s="11">
        <f>Data_Historis_Mingguan!F265</f>
        <v>4553.08</v>
      </c>
      <c r="E266" s="11">
        <f t="shared" si="4"/>
        <v>-174.26999999999953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4.5" x14ac:dyDescent="0.35"/>
  <cols>
    <col min="1" max="1" width="79" customWidth="1"/>
    <col min="2" max="2" width="30" customWidth="1"/>
    <col min="3" max="5" width="12" customWidth="1"/>
    <col min="6" max="6" width="42" customWidth="1"/>
  </cols>
  <sheetData>
    <row r="1" spans="1:6" ht="21" x14ac:dyDescent="0.55000000000000004">
      <c r="A1" s="1" t="s">
        <v>278</v>
      </c>
    </row>
    <row r="2" spans="1:6" ht="16" x14ac:dyDescent="0.45">
      <c r="A2" s="2" t="s">
        <v>279</v>
      </c>
    </row>
    <row r="4" spans="1:6" ht="16.5" x14ac:dyDescent="0.35">
      <c r="A4" s="3" t="s">
        <v>2</v>
      </c>
      <c r="B4" s="3" t="s">
        <v>280</v>
      </c>
      <c r="C4" s="3" t="s">
        <v>281</v>
      </c>
      <c r="D4" s="3" t="s">
        <v>282</v>
      </c>
      <c r="E4" s="3" t="s">
        <v>283</v>
      </c>
      <c r="F4" s="3" t="s">
        <v>284</v>
      </c>
    </row>
    <row r="5" spans="1:6" ht="16" x14ac:dyDescent="0.45">
      <c r="A5" s="4">
        <v>1</v>
      </c>
      <c r="B5" s="4" t="s">
        <v>285</v>
      </c>
      <c r="C5" s="10">
        <v>1820.45</v>
      </c>
      <c r="D5" s="10">
        <v>1832.1</v>
      </c>
      <c r="E5" s="12">
        <v>2.15</v>
      </c>
      <c r="F5" s="13" t="s">
        <v>286</v>
      </c>
    </row>
    <row r="6" spans="1:6" ht="16" x14ac:dyDescent="0.45">
      <c r="A6" s="7">
        <v>2</v>
      </c>
      <c r="B6" s="7" t="s">
        <v>287</v>
      </c>
      <c r="C6" s="11">
        <v>1815.8</v>
      </c>
      <c r="D6" s="11">
        <v>1831.25</v>
      </c>
      <c r="E6" s="14">
        <v>2.02</v>
      </c>
      <c r="F6" s="15" t="s">
        <v>288</v>
      </c>
    </row>
    <row r="7" spans="1:6" ht="16" x14ac:dyDescent="0.45">
      <c r="A7" s="4">
        <v>3</v>
      </c>
      <c r="B7" s="4" t="s">
        <v>289</v>
      </c>
      <c r="C7" s="10">
        <v>1835.9</v>
      </c>
      <c r="D7" s="10">
        <v>1843.6</v>
      </c>
      <c r="E7" s="12">
        <v>2.4500000000000002</v>
      </c>
      <c r="F7" s="13" t="s">
        <v>290</v>
      </c>
    </row>
    <row r="8" spans="1:6" ht="16" x14ac:dyDescent="0.45">
      <c r="A8" s="7">
        <v>4</v>
      </c>
      <c r="B8" s="7" t="s">
        <v>291</v>
      </c>
      <c r="C8" s="11">
        <v>1840.12</v>
      </c>
      <c r="D8" s="11">
        <v>1847.8</v>
      </c>
      <c r="E8" s="14">
        <v>2.58</v>
      </c>
      <c r="F8" s="15" t="s">
        <v>292</v>
      </c>
    </row>
    <row r="9" spans="1:6" ht="16" x14ac:dyDescent="0.45">
      <c r="A9" s="4">
        <v>5</v>
      </c>
      <c r="B9" s="4" t="s">
        <v>293</v>
      </c>
      <c r="C9" s="10">
        <v>1828.65</v>
      </c>
      <c r="D9" s="10">
        <v>1839.4</v>
      </c>
      <c r="E9" s="12">
        <v>2.2200000000000002</v>
      </c>
      <c r="F9" s="13" t="s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Data_Historis_Mingguan</vt:lpstr>
      <vt:lpstr>Differencing_Stasioneritas</vt:lpstr>
      <vt:lpstr>Ringkasan_ARIMA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Pyyy Caaa</cp:lastModifiedBy>
  <dcterms:created xsi:type="dcterms:W3CDTF">2026-10-06T06:23:02Z</dcterms:created>
  <dcterms:modified xsi:type="dcterms:W3CDTF">2026-10-06T06:27:27Z</dcterms:modified>
</cp:coreProperties>
</file>